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. BENH VIEN TMHMT HOE\1.NĂM 2026\7. BAO CAO TAI CHINH THANG\BCTC T1-T6.26\"/>
    </mc:Choice>
  </mc:AlternateContent>
  <bookViews>
    <workbookView xWindow="0" yWindow="90" windowWidth="19155" windowHeight="12330" tabRatio="829" activeTab="2"/>
  </bookViews>
  <sheets>
    <sheet name="BC tình hình tài chính" sheetId="1" r:id="rId1"/>
    <sheet name="BC Lưu chuyển TT" sheetId="2" r:id="rId2"/>
    <sheet name="BC Kết quả kinh doanh" sheetId="3" r:id="rId3"/>
    <sheet name="Bảng cân đối phát sinh" sheetId="4" r:id="rId4"/>
  </sheets>
  <externalReferences>
    <externalReference r:id="rId5"/>
    <externalReference r:id="rId6"/>
  </externalReferences>
  <definedNames>
    <definedName name="_xlnm.Print_Titles" localSheetId="0">'BC tình hình tài chính'!$11:$11</definedName>
  </definedNames>
  <calcPr calcId="162913"/>
</workbook>
</file>

<file path=xl/calcChain.xml><?xml version="1.0" encoding="utf-8"?>
<calcChain xmlns="http://schemas.openxmlformats.org/spreadsheetml/2006/main">
  <c r="R38" i="2" l="1"/>
  <c r="O38" i="2"/>
  <c r="O20" i="2"/>
  <c r="O39" i="2"/>
  <c r="R21" i="2"/>
  <c r="X148" i="4" l="1"/>
  <c r="AA145" i="4"/>
  <c r="X145" i="4"/>
  <c r="U145" i="4"/>
  <c r="R145" i="4"/>
  <c r="O145" i="4"/>
  <c r="L145" i="4"/>
  <c r="R26" i="3" l="1"/>
  <c r="R23" i="3"/>
  <c r="R27" i="3" s="1"/>
  <c r="R30" i="3" s="1"/>
  <c r="R16" i="3"/>
  <c r="O16" i="3"/>
  <c r="O23" i="3"/>
  <c r="O27" i="3" s="1"/>
  <c r="O30" i="3" s="1"/>
  <c r="O12" i="3"/>
  <c r="U12" i="3" s="1"/>
  <c r="O21" i="2" l="1"/>
  <c r="R39" i="2" l="1"/>
  <c r="R30" i="2"/>
  <c r="O30" i="2"/>
  <c r="U137" i="1"/>
  <c r="R52" i="1"/>
  <c r="O52" i="1"/>
  <c r="O91" i="1"/>
  <c r="O12" i="1"/>
  <c r="R90" i="1"/>
  <c r="O90" i="1"/>
  <c r="O137" i="1" s="1"/>
  <c r="O122" i="1"/>
  <c r="O44" i="1"/>
  <c r="O89" i="1" s="1"/>
  <c r="R91" i="1"/>
  <c r="O23" i="1"/>
  <c r="O16" i="1"/>
  <c r="R16" i="1"/>
  <c r="R137" i="1" l="1"/>
  <c r="O84" i="1"/>
  <c r="R84" i="1"/>
  <c r="R44" i="1"/>
  <c r="R38" i="1"/>
  <c r="R23" i="1"/>
  <c r="R12" i="1" s="1"/>
  <c r="R89" i="1" s="1"/>
  <c r="O10" i="1" l="1"/>
</calcChain>
</file>

<file path=xl/sharedStrings.xml><?xml version="1.0" encoding="utf-8"?>
<sst xmlns="http://schemas.openxmlformats.org/spreadsheetml/2006/main" count="721" uniqueCount="616">
  <si>
    <t>01_CDKT</t>
  </si>
  <si>
    <t>CÔNG TY CỔ PHẦN BỆNH VIỆN TAI MŨI HỌNG MIỀN TRUNG</t>
  </si>
  <si>
    <t>Số 12, đại lộ Lê Nin, Phường Hà Huy Tập,  Thành phố Vinh, Tỉnh Nghệ An, Việt Nam</t>
  </si>
  <si>
    <t>BÁO CÁO TÌNH HÌNH TÀI CHÍNH</t>
  </si>
  <si>
    <t>Đơn vị tính:</t>
  </si>
  <si>
    <t>VND</t>
  </si>
  <si>
    <t>Chỉ tiêu</t>
  </si>
  <si>
    <t>Mã số</t>
  </si>
  <si>
    <t>Thuyết minh</t>
  </si>
  <si>
    <t>Số đầu năm</t>
  </si>
  <si>
    <t>Ngày........tháng........năm................</t>
  </si>
  <si>
    <t>NGƯỜI LẬP</t>
  </si>
  <si>
    <t>KẾ TOÁN TRƯỞNG</t>
  </si>
  <si>
    <t>NGƯỜI ĐẠI DIỆN THEO PHÁP LUẬT</t>
  </si>
  <si>
    <t>(Ký, họ tên)</t>
  </si>
  <si>
    <t>(Ký, họ tên)</t>
  </si>
  <si>
    <t>(Ký, họ tên, đóng dấu)</t>
  </si>
  <si>
    <t>Nguyễn Hoàng Hiến</t>
  </si>
  <si>
    <t>2026</t>
  </si>
  <si>
    <t>Mẫu số: B 01 - DN</t>
  </si>
  <si>
    <t>(Kèm theo Thông tư số</t>
  </si>
  <si>
    <t>99/2025/TT-BTC Ngày 27/10/2025</t>
  </si>
  <si>
    <t>của Bộ trưởng Bộ Tài chính)</t>
  </si>
  <si>
    <t>Tại ngày 30 tháng 06 năm 2026</t>
  </si>
  <si>
    <t>A - TÀI SẢN NGẮN HẠN</t>
  </si>
  <si>
    <t>100</t>
  </si>
  <si>
    <t>I. Tiền và các khoản tương đương tiền</t>
  </si>
  <si>
    <t>110</t>
  </si>
  <si>
    <t>1. Tiền</t>
  </si>
  <si>
    <t>111</t>
  </si>
  <si>
    <t>2. Các khoản tương đương tiền</t>
  </si>
  <si>
    <t>112</t>
  </si>
  <si>
    <t>II. Đầu tư tài chính ngắn hạn</t>
  </si>
  <si>
    <t>120</t>
  </si>
  <si>
    <t>1. Chứng khoán kinh doanh</t>
  </si>
  <si>
    <t>121</t>
  </si>
  <si>
    <t>2. Dự phòng giảm giá chứng khoán kinh doanh</t>
  </si>
  <si>
    <t>122</t>
  </si>
  <si>
    <t>3. Đầu tư nắm giữ đến ngày đáo hạn ngắn hạn</t>
  </si>
  <si>
    <t>123</t>
  </si>
  <si>
    <t>4. Dự phòng đầu tư nắm giữ đến ngày đáo hạn ngắn hạn</t>
  </si>
  <si>
    <t>124</t>
  </si>
  <si>
    <t>5. Đầu tư ngắn hạn khác</t>
  </si>
  <si>
    <t>125</t>
  </si>
  <si>
    <t>6. Dự phòng tổn thất các khoản đầu tư ngắn hạn khác</t>
  </si>
  <si>
    <t>126</t>
  </si>
  <si>
    <t>III. Các khoản phải thu ngắn hạn</t>
  </si>
  <si>
    <t>130</t>
  </si>
  <si>
    <t>1. Phải thu ngắn hạn của khách hàng</t>
  </si>
  <si>
    <t>131</t>
  </si>
  <si>
    <t>2. Trả trước cho người bán ngắn hạn</t>
  </si>
  <si>
    <t>132</t>
  </si>
  <si>
    <t>3. Phải thu nội bộ ngắn hạn</t>
  </si>
  <si>
    <t>133</t>
  </si>
  <si>
    <t>4. Phải thu theo tiến độ hợp đồng xây dựng</t>
  </si>
  <si>
    <t>134</t>
  </si>
  <si>
    <t>5. Phải thu ngắn hạn khác</t>
  </si>
  <si>
    <t>135</t>
  </si>
  <si>
    <t>6. Dự phòng phải thu ngắn hạn khó đòi</t>
  </si>
  <si>
    <t>136</t>
  </si>
  <si>
    <t>7. Tài sản thiếu chờ xử lý</t>
  </si>
  <si>
    <t>137</t>
  </si>
  <si>
    <t>IV. Hàng tồn kho</t>
  </si>
  <si>
    <t>140</t>
  </si>
  <si>
    <t>1. Hàng tồn kho</t>
  </si>
  <si>
    <t>141</t>
  </si>
  <si>
    <t>2. Dự phòng giảm giá hàng tồn kho</t>
  </si>
  <si>
    <t>142</t>
  </si>
  <si>
    <t>V. Tài sản sinh học ngắn hạn</t>
  </si>
  <si>
    <t>150</t>
  </si>
  <si>
    <t>1. Súc vật nuôi lấy sản phẩm một lần ngắn hạn</t>
  </si>
  <si>
    <t>151</t>
  </si>
  <si>
    <t>2. Cây trồng theo mùa vụ hoặc lấy sản phẩm một lần ngắn hạn</t>
  </si>
  <si>
    <t>152</t>
  </si>
  <si>
    <t>3. Dự phòng tổn thất tài sản sinh học ngắn hạn</t>
  </si>
  <si>
    <t>153</t>
  </si>
  <si>
    <t>VI. Tài sản ngắn hạn khác</t>
  </si>
  <si>
    <t>160</t>
  </si>
  <si>
    <t>1. Chi phí trả trước ngắn hạn</t>
  </si>
  <si>
    <t>161</t>
  </si>
  <si>
    <t>2. Thuế GTGT được khấu trừ</t>
  </si>
  <si>
    <t>162</t>
  </si>
  <si>
    <t>3. Thuế và các khoản khác phải thu Nhà nước</t>
  </si>
  <si>
    <t>163</t>
  </si>
  <si>
    <t>4. Giao dịch mua bán lại trái phiếu Chính phủ</t>
  </si>
  <si>
    <t>164</t>
  </si>
  <si>
    <t>5. Tài sản ngắn hạn khác</t>
  </si>
  <si>
    <t>165</t>
  </si>
  <si>
    <t>B - TÀI SẢN DÀI HẠN</t>
  </si>
  <si>
    <t>200</t>
  </si>
  <si>
    <t>I. Các khoản phải thu dài hạn</t>
  </si>
  <si>
    <t>210</t>
  </si>
  <si>
    <t>1. Phải thu dài hạn của khách hàng</t>
  </si>
  <si>
    <t>211</t>
  </si>
  <si>
    <t>2. Trả trước cho người bán dài hạn</t>
  </si>
  <si>
    <t>212</t>
  </si>
  <si>
    <t>3. Vốn kinh doanh ở đơn vị trực thuộc</t>
  </si>
  <si>
    <t>213</t>
  </si>
  <si>
    <t>4. Phải thu nội bộ dài hạn</t>
  </si>
  <si>
    <t>214</t>
  </si>
  <si>
    <t>5. Phải thu dài hạn khác</t>
  </si>
  <si>
    <t>215</t>
  </si>
  <si>
    <t>6. Dự phòng phải thu dài hạn khó đòi</t>
  </si>
  <si>
    <t>216</t>
  </si>
  <si>
    <t>II. Tài sản cố định</t>
  </si>
  <si>
    <t>220</t>
  </si>
  <si>
    <t>1. TSCĐ hữu hình</t>
  </si>
  <si>
    <t>221</t>
  </si>
  <si>
    <t>- Nguyên giá</t>
  </si>
  <si>
    <t>222</t>
  </si>
  <si>
    <t>- Giá trị hao mòn lũy kế</t>
  </si>
  <si>
    <t>223</t>
  </si>
  <si>
    <t>2. TSCĐ thuê tài chính</t>
  </si>
  <si>
    <t>224</t>
  </si>
  <si>
    <t>225</t>
  </si>
  <si>
    <t>226</t>
  </si>
  <si>
    <t>3. TSCĐ vô hình</t>
  </si>
  <si>
    <t>227</t>
  </si>
  <si>
    <t>228</t>
  </si>
  <si>
    <t>229</t>
  </si>
  <si>
    <t>III. Tài sản sinh học dài hạn</t>
  </si>
  <si>
    <t>230</t>
  </si>
  <si>
    <t>1. Súc vật nuôi cho sản phẩm định kỳ</t>
  </si>
  <si>
    <t>231</t>
  </si>
  <si>
    <t>a) Súc vật nuôi cho sản phẩm định kỳ chưa đến giai đoạn trưởng thành</t>
  </si>
  <si>
    <t>232</t>
  </si>
  <si>
    <t>b) Súc vật nuôi cho sản phẩm định kỳ đến giai đoạn trưởng thành</t>
  </si>
  <si>
    <t>233</t>
  </si>
  <si>
    <t>234</t>
  </si>
  <si>
    <t>- Giá trị khấu hao lũy kế</t>
  </si>
  <si>
    <t>235</t>
  </si>
  <si>
    <t>2. Súc vật nuôi lấy sản phẩm một lần dài hạn</t>
  </si>
  <si>
    <t>236</t>
  </si>
  <si>
    <t>3. Cây trồng theo mùa vụ hoặc lấy sản phẩm một lần dài hạn</t>
  </si>
  <si>
    <t>237</t>
  </si>
  <si>
    <t>4. Dự phòng tổn thất tài sản sinh học dài hạn</t>
  </si>
  <si>
    <t>238</t>
  </si>
  <si>
    <t>IV. Bất động sản đầu tư</t>
  </si>
  <si>
    <t>240</t>
  </si>
  <si>
    <t>241</t>
  </si>
  <si>
    <t>- Giá trị hao mòn luỹ kế</t>
  </si>
  <si>
    <t>242</t>
  </si>
  <si>
    <t>V. Tài sản dở dang dài hạn</t>
  </si>
  <si>
    <t>250</t>
  </si>
  <si>
    <t>1. Chi phí sản xuất, kinh doanh dở dang dài hạn</t>
  </si>
  <si>
    <t>251</t>
  </si>
  <si>
    <t>2. Chi phí xây dựng cơ bản dở dang</t>
  </si>
  <si>
    <t>252</t>
  </si>
  <si>
    <t>VI. Đầu tư tài chính dài hạn</t>
  </si>
  <si>
    <t>260</t>
  </si>
  <si>
    <t>1. Đầu tư vào công ty con</t>
  </si>
  <si>
    <t>261</t>
  </si>
  <si>
    <t>2. Đầu tư vào công ty liên doanh, liên kết</t>
  </si>
  <si>
    <t>262</t>
  </si>
  <si>
    <t>3. Đầu tư góp vốn vào đơn vị khác</t>
  </si>
  <si>
    <t>263</t>
  </si>
  <si>
    <t>4. Dự phòng tổn thất đầu tư vào đơn vị khác dài hạn</t>
  </si>
  <si>
    <t>264</t>
  </si>
  <si>
    <t>5. Đầu tư nắm giữ đến ngày đáo hạn dài hạn</t>
  </si>
  <si>
    <t>265</t>
  </si>
  <si>
    <t>6. Dự phòng đầu tư nắm giữ đến ngày đáo hạn dài hạn</t>
  </si>
  <si>
    <t>266</t>
  </si>
  <si>
    <t>VII Tài sản dài hạn khác</t>
  </si>
  <si>
    <t>270</t>
  </si>
  <si>
    <t>1. Chi phí chờ phẩn bổ dài hạn</t>
  </si>
  <si>
    <t>271</t>
  </si>
  <si>
    <t>2. Tài sản thuế thu nhập hoãn lại</t>
  </si>
  <si>
    <t>272</t>
  </si>
  <si>
    <t>3. Thiết bị, vật tư, phụ tùng thay thế dài hạn</t>
  </si>
  <si>
    <t>273</t>
  </si>
  <si>
    <t>4. Tài sản dài hạn khác</t>
  </si>
  <si>
    <t>274</t>
  </si>
  <si>
    <t>TỔNG CỘNG TÀI SẢN</t>
  </si>
  <si>
    <t>280</t>
  </si>
  <si>
    <t>C - NỢ PHẢI TRẢ</t>
  </si>
  <si>
    <t>300</t>
  </si>
  <si>
    <t>I. Nợ ngắn hạn</t>
  </si>
  <si>
    <t>310</t>
  </si>
  <si>
    <t>1. Phải trả người bán ngắn hạn</t>
  </si>
  <si>
    <t>311</t>
  </si>
  <si>
    <t>2. Người mua trả tiền trước ngắn hạn</t>
  </si>
  <si>
    <t>312</t>
  </si>
  <si>
    <t>3. Phải trả cổ tức, lợi nhuận</t>
  </si>
  <si>
    <t>313</t>
  </si>
  <si>
    <t>4. Thuế và các khoản phải nộp Nhà nước ngắn hạn</t>
  </si>
  <si>
    <t>314</t>
  </si>
  <si>
    <t>5. Phải trả người lao động</t>
  </si>
  <si>
    <t>315</t>
  </si>
  <si>
    <t>6. Chi phí phải trả ngắn hạn</t>
  </si>
  <si>
    <t>316</t>
  </si>
  <si>
    <t>7. Phải trả nội bộ ngắn hạn</t>
  </si>
  <si>
    <t>317</t>
  </si>
  <si>
    <t>8. Phải trả theo tiến độ kế hoạch hợp đồng xây dựng ngắn hạn</t>
  </si>
  <si>
    <t>318</t>
  </si>
  <si>
    <t>9. Doanh thu chờ phân bổ ngắn hạn</t>
  </si>
  <si>
    <t>319</t>
  </si>
  <si>
    <t>10. Phải trả ngắn hạn khác</t>
  </si>
  <si>
    <t>320</t>
  </si>
  <si>
    <t>11. Vay và nợ thuê tài chính ngắn hạn</t>
  </si>
  <si>
    <t>321</t>
  </si>
  <si>
    <t>12. Dự phòng phải trả ngắn hạn</t>
  </si>
  <si>
    <t>322</t>
  </si>
  <si>
    <t>13. Quỹ khen thưởng, phúc lợi</t>
  </si>
  <si>
    <t>323</t>
  </si>
  <si>
    <t>14. Quỹ bình ổn giá</t>
  </si>
  <si>
    <t>324</t>
  </si>
  <si>
    <t>15. Giao dịch mua bán lại trái phiếu Chính phủ</t>
  </si>
  <si>
    <t>325</t>
  </si>
  <si>
    <t>II. Nợ dài hạn</t>
  </si>
  <si>
    <t>330</t>
  </si>
  <si>
    <t>1. Phải trả người bán dài hạn</t>
  </si>
  <si>
    <t>331</t>
  </si>
  <si>
    <t>2. Người mua trả tiền trước dài hạn</t>
  </si>
  <si>
    <t>332</t>
  </si>
  <si>
    <t>3. Thuế và các khoản phải nộp Nhà nước dài hạn</t>
  </si>
  <si>
    <t>333</t>
  </si>
  <si>
    <t>4. Chi phí phải trả dài hạn</t>
  </si>
  <si>
    <t>334</t>
  </si>
  <si>
    <t>5. Phải trả nội bộ về vốn kinh doanh</t>
  </si>
  <si>
    <t>335</t>
  </si>
  <si>
    <t>6. Phải trả nội bộ dài hạn</t>
  </si>
  <si>
    <t>336</t>
  </si>
  <si>
    <t>7. Doanh thu chờ phân bổ dài hạn</t>
  </si>
  <si>
    <t>337</t>
  </si>
  <si>
    <t>8. Phải trả dài hạn khác</t>
  </si>
  <si>
    <t>338</t>
  </si>
  <si>
    <t>9. Vay và nợ thuê tài chính dài hạn</t>
  </si>
  <si>
    <t>339</t>
  </si>
  <si>
    <t>10. Trái phiếu chuyển đổi</t>
  </si>
  <si>
    <t>340</t>
  </si>
  <si>
    <t>11. Cổ phiếu ưu đãi</t>
  </si>
  <si>
    <t>341</t>
  </si>
  <si>
    <t>12. Thuế  thu nhập hoãn lại phải trả</t>
  </si>
  <si>
    <t>342</t>
  </si>
  <si>
    <t>13. Dự phòng phải trả dài hạn</t>
  </si>
  <si>
    <t>343</t>
  </si>
  <si>
    <t>14. Quỹ phát triển khoa học và công nghệ</t>
  </si>
  <si>
    <t>344</t>
  </si>
  <si>
    <t>D - VỐN CHỦ SỞ HỮU</t>
  </si>
  <si>
    <t>400</t>
  </si>
  <si>
    <t>1. Vốn góp của chủ sở hữu</t>
  </si>
  <si>
    <t>411</t>
  </si>
  <si>
    <t>- Cổ phiếu phổ thông có quyền biểu quyết</t>
  </si>
  <si>
    <t>411A</t>
  </si>
  <si>
    <t>- Cổ phiếu ưu đãi</t>
  </si>
  <si>
    <t>411B</t>
  </si>
  <si>
    <t>2. Thặng dư vốn</t>
  </si>
  <si>
    <t>412</t>
  </si>
  <si>
    <t>3. Quyền chọn chuyển đổi trái phiếu</t>
  </si>
  <si>
    <t>413</t>
  </si>
  <si>
    <t>4. Vốn khác của chủ sở hữu</t>
  </si>
  <si>
    <t>414</t>
  </si>
  <si>
    <t>5. Cổ phiếu mua lại của chính mình</t>
  </si>
  <si>
    <t>415</t>
  </si>
  <si>
    <t>6. Chênh lệch đánh giá lại tài sản</t>
  </si>
  <si>
    <t>416</t>
  </si>
  <si>
    <t>7. Chênh lệch tỷ giá hối đoái</t>
  </si>
  <si>
    <t>417</t>
  </si>
  <si>
    <t>8. Quỹ đầu tư phát triển</t>
  </si>
  <si>
    <t>418</t>
  </si>
  <si>
    <t>9. Quỹ khác thuộc vốn chủ sở hữu</t>
  </si>
  <si>
    <t>419</t>
  </si>
  <si>
    <t>10. Lợi nhuận sau thuế chưa phân phối</t>
  </si>
  <si>
    <t>420</t>
  </si>
  <si>
    <t>- LNST chưa phân phối lũy kế đến cuối kỳ trước</t>
  </si>
  <si>
    <t>420A</t>
  </si>
  <si>
    <t>- LNST chưa phân phối kỳ này</t>
  </si>
  <si>
    <t>420B</t>
  </si>
  <si>
    <t>TỔNG CỘNG NGUỒN VỐN</t>
  </si>
  <si>
    <t>440</t>
  </si>
  <si>
    <t>0304_LCTT</t>
  </si>
  <si>
    <t>Mẫu số B 03 – DN</t>
  </si>
  <si>
    <t>BÁO CÁO LƯU CHUYỂN TIỀN TỆ</t>
  </si>
  <si>
    <t>(Theo phương pháp trực tiếp)</t>
  </si>
  <si>
    <t>Từ ngày 01/01/2026 đến ngày 30/06/2026</t>
  </si>
  <si>
    <t>Kỳ này</t>
  </si>
  <si>
    <t>Kỳ trước</t>
  </si>
  <si>
    <t>I. Lưu chuyển tiền từ hoạt động kinh doanh</t>
  </si>
  <si>
    <t/>
  </si>
  <si>
    <t>1. Tiền thu từ bán hàng, cung cấp dịch vụ và doanh thu khác</t>
  </si>
  <si>
    <t>01</t>
  </si>
  <si>
    <t>2. Tiền chi trả cho người cung cấp hàng hóa và dịch vụ</t>
  </si>
  <si>
    <t>02</t>
  </si>
  <si>
    <t>3. Tiền chi trả cho người lao động</t>
  </si>
  <si>
    <t>03</t>
  </si>
  <si>
    <t>4. Chi phí đi vay đã trả</t>
  </si>
  <si>
    <t>04</t>
  </si>
  <si>
    <t>5. Thuế thu nhập doanh nghiệp đã nộp</t>
  </si>
  <si>
    <t>05</t>
  </si>
  <si>
    <t>6. Tiền thu khác từ hoạt động kinh doanh</t>
  </si>
  <si>
    <t>06</t>
  </si>
  <si>
    <t>7. Tiền chi khác cho hoạt động kinh doanh</t>
  </si>
  <si>
    <t>07</t>
  </si>
  <si>
    <t>Lưu chuyển tiền thuần từ hoạt động kinh doanh</t>
  </si>
  <si>
    <t>20</t>
  </si>
  <si>
    <t>II. Lưu chuyển tiền từ hoạt động đầu tư</t>
  </si>
  <si>
    <t>1. Tiền chi để mua sắm, xây dựng TSCĐ và các tài sản dài hạn khác</t>
  </si>
  <si>
    <t>21</t>
  </si>
  <si>
    <t>2. Tiền thu từ thanh lý, nhượng bán TSCĐ và các tài sản dài hạn khác</t>
  </si>
  <si>
    <t>22</t>
  </si>
  <si>
    <t>3. Tiền chi cho vay, mua các công cụ nợ của đơn vị khác</t>
  </si>
  <si>
    <t>23</t>
  </si>
  <si>
    <t>4. Tiền thu hồi cho vay, bán lại các công cụ nợ của đơn vị khác</t>
  </si>
  <si>
    <t>24</t>
  </si>
  <si>
    <t>5. Tiền chi đầu tư góp vốn vào đơn vị khác</t>
  </si>
  <si>
    <t>25</t>
  </si>
  <si>
    <t>6. Tiền thu hồi đầu tư góp vốn vào đơn vị khác</t>
  </si>
  <si>
    <t>26</t>
  </si>
  <si>
    <t>7. Tiền thu lãi cho vay, cổ tức và lợi nhuận được chia</t>
  </si>
  <si>
    <t>27</t>
  </si>
  <si>
    <t>Lưu chuyển tiền thuần từ hoạt động đầu tư</t>
  </si>
  <si>
    <t>30</t>
  </si>
  <si>
    <t>III. Lưu chuyển tiền từ hoạt động tài chính</t>
  </si>
  <si>
    <t>1. Tiền thu từ phát hành cổ phiếu, nhận vốn góp của chủ sở hữu</t>
  </si>
  <si>
    <t>31</t>
  </si>
  <si>
    <t>2. Tiền trả lại vốn góp cho các chủ sở hữu, mua lại cổ phiếu đã phát hành</t>
  </si>
  <si>
    <t>32</t>
  </si>
  <si>
    <t>3. Tiền thu từ đi vay</t>
  </si>
  <si>
    <t>33</t>
  </si>
  <si>
    <t>4. Tiền trả nợ gốc vay</t>
  </si>
  <si>
    <t>34</t>
  </si>
  <si>
    <t>5. Tiền trả nợ gốc thuê tài chính</t>
  </si>
  <si>
    <t>35</t>
  </si>
  <si>
    <t>6. Cổ tức, lợi nhuận đã trả cho chủ sở hữu</t>
  </si>
  <si>
    <t>36</t>
  </si>
  <si>
    <t>Lưu chuyển tiền thuần từ hoạt động tài chính</t>
  </si>
  <si>
    <t>40</t>
  </si>
  <si>
    <t>Lưu chuyển tiền thuần trong kỳ (50 = 20+30+40)</t>
  </si>
  <si>
    <t>50</t>
  </si>
  <si>
    <t>Tiền và tương đương tiền đầu kỳ</t>
  </si>
  <si>
    <t>60</t>
  </si>
  <si>
    <t>Ảnh hưởng của thay đổi tỷ giá hối đoái quy đổi ngoại tệ</t>
  </si>
  <si>
    <t>61</t>
  </si>
  <si>
    <t>Tiền và tương đương tiền cuối kỳ (70 = 50+60+61)</t>
  </si>
  <si>
    <t>70</t>
  </si>
  <si>
    <t>02_SXKD</t>
  </si>
  <si>
    <t>Mẫu số B 02 - DN</t>
  </si>
  <si>
    <t>BÁO CÁO KẾT QUẢ SẢN XUẤT KINH DOANH</t>
  </si>
  <si>
    <t>1. Doanh thu bán hàng và cung cấp dịch vụ</t>
  </si>
  <si>
    <t>2. Các khoản giảm trừ doanh thu</t>
  </si>
  <si>
    <t>3. Doanh thu thuần về bán hàng và cung cấp dịch vụ (10=01- 02)</t>
  </si>
  <si>
    <t>10</t>
  </si>
  <si>
    <t>4. Giá vốn hàng bán</t>
  </si>
  <si>
    <t>11</t>
  </si>
  <si>
    <t>5. Lợi nhuận gộp về bán hàng và cung cấp dịch vụ (20=10-11)</t>
  </si>
  <si>
    <t>6. Lãi/lỗ của hoạt động bán, thanh lý bất động sản đầu tư</t>
  </si>
  <si>
    <t>7. Doanh thu hoạt động tài chính</t>
  </si>
  <si>
    <t>8. Chi phí tài chính</t>
  </si>
  <si>
    <t>  - Trong đó: Chi phí đi vay</t>
  </si>
  <si>
    <t>9. Chi phí bán hàng</t>
  </si>
  <si>
    <t>10. Chi phí quản lý doanh nghiệp</t>
  </si>
  <si>
    <t>11. Lợi nhuận thuần từ hoạt động kinh doanh {30=20+21+22-(23+25+26)}</t>
  </si>
  <si>
    <t>12. Thu nhập khác</t>
  </si>
  <si>
    <t>13. Chi phí khác</t>
  </si>
  <si>
    <t>14. Lợi nhuận khác (40=31-32)</t>
  </si>
  <si>
    <t>15. Tổng lợi nhuận kế toán trước thuế (50=30+40)</t>
  </si>
  <si>
    <t>16. Chi phí thuế TNDN hiện hành</t>
  </si>
  <si>
    <t>51</t>
  </si>
  <si>
    <t>17. Chi phí thuế TNDN hoãn lại</t>
  </si>
  <si>
    <t>52</t>
  </si>
  <si>
    <t>18. Lợi nhuận sau thuế thu nhập doanh nghiệp (60=50-51-52)</t>
  </si>
  <si>
    <t>19. Lãi cơ bản trên cổ phiếu</t>
  </si>
  <si>
    <t>20. Lãi suy giảm trên cổ phiếu</t>
  </si>
  <si>
    <t>71</t>
  </si>
  <si>
    <t>05_CDTK</t>
  </si>
  <si>
    <t>Mẫu số S06-DN</t>
  </si>
  <si>
    <t>99/2025/TT-BTC ngày 27/10/2025</t>
  </si>
  <si>
    <t>BẢNG CÂN ĐỐI PHÁT SINH</t>
  </si>
  <si>
    <t>Tài khoản</t>
  </si>
  <si>
    <t>Tên tài khoản</t>
  </si>
  <si>
    <t>Dư đầu kỳ</t>
  </si>
  <si>
    <t>Phát sinh</t>
  </si>
  <si>
    <t>Dư cuối kỳ</t>
  </si>
  <si>
    <t>Nợ</t>
  </si>
  <si>
    <t>Có</t>
  </si>
  <si>
    <t>A</t>
  </si>
  <si>
    <t>B</t>
  </si>
  <si>
    <t>Tiền mặt</t>
  </si>
  <si>
    <t>1111</t>
  </si>
  <si>
    <t>Tiền Việt Nam</t>
  </si>
  <si>
    <t>11111</t>
  </si>
  <si>
    <t>Quỹ công ty</t>
  </si>
  <si>
    <t>Tiền gửi không kỳ hạn</t>
  </si>
  <si>
    <t>1121</t>
  </si>
  <si>
    <t>11211</t>
  </si>
  <si>
    <t>Tiền VND tại NH : VCB Vinh_0861008886868</t>
  </si>
  <si>
    <t>11212</t>
  </si>
  <si>
    <t>Tiền VND tại NH : BIDV Nghệ an_51010002586868</t>
  </si>
  <si>
    <t>11215</t>
  </si>
  <si>
    <t>Tiền VND tại NH: VIB Vinh_868626886</t>
  </si>
  <si>
    <t>11216</t>
  </si>
  <si>
    <t>Tiền gửi Ngân hàng Vietbank_000003393352</t>
  </si>
  <si>
    <t>11217</t>
  </si>
  <si>
    <t>Tiền VND tại NH: VIB Vinh - 122888888</t>
  </si>
  <si>
    <t>11218</t>
  </si>
  <si>
    <t>Tiền VND tại NH: AGRIBANK - CN Nghệ An - TK 3600333686868</t>
  </si>
  <si>
    <t>11219</t>
  </si>
  <si>
    <t>Tiền VND tại NH: TMCP Phương Đông - CN Nghệ An - TK 1222888888</t>
  </si>
  <si>
    <t>128</t>
  </si>
  <si>
    <t>Đầu tư nắm giữ đến ngày đáo hạn</t>
  </si>
  <si>
    <t>1281</t>
  </si>
  <si>
    <t>Tiền gửi có kỳ hạn</t>
  </si>
  <si>
    <t>Phải thu khách hàng</t>
  </si>
  <si>
    <t>1311</t>
  </si>
  <si>
    <t>Phải thu ngắn hạn khách hàng</t>
  </si>
  <si>
    <t>13111</t>
  </si>
  <si>
    <t>Phải thu ngắn hạn khách hàng: Hoạt động KCB BH</t>
  </si>
  <si>
    <t>13112</t>
  </si>
  <si>
    <t>Phải thu ngắn hạn khách hàng: Hoạt động KCB BNCT</t>
  </si>
  <si>
    <t>13113</t>
  </si>
  <si>
    <t>Phải thu ngắn hạn khách hàng: Hoạt động thuốc và VTYT</t>
  </si>
  <si>
    <t>13114</t>
  </si>
  <si>
    <t>Phải thu ngắn hạn khách hàng: Hoạt động nhà ăn</t>
  </si>
  <si>
    <t>13115</t>
  </si>
  <si>
    <t>Phải thu ngắn hạn khách hàng: Hoạt động nhà xe</t>
  </si>
  <si>
    <t>Thuế GTGT được khấu trừ</t>
  </si>
  <si>
    <t>1331</t>
  </si>
  <si>
    <t>Thuế GTGT được khấu trừ của hàng hoá dịch vụ</t>
  </si>
  <si>
    <t>13311</t>
  </si>
  <si>
    <t>138</t>
  </si>
  <si>
    <t>Phải thu khác</t>
  </si>
  <si>
    <t>1388</t>
  </si>
  <si>
    <t>13881</t>
  </si>
  <si>
    <t>Phải thu ngắn hạn khác</t>
  </si>
  <si>
    <t>138811</t>
  </si>
  <si>
    <t>Phải thu ngắn hạn khác: HĐ SXKD</t>
  </si>
  <si>
    <t>Tạm ứng</t>
  </si>
  <si>
    <t>Nguyên liệu, vật liệu</t>
  </si>
  <si>
    <t>1521</t>
  </si>
  <si>
    <t>Thuốc phục vụ KCB</t>
  </si>
  <si>
    <t>1522</t>
  </si>
  <si>
    <t>Vật tư phục vụ KCB</t>
  </si>
  <si>
    <t>1526</t>
  </si>
  <si>
    <t>Văn phòng phẩm</t>
  </si>
  <si>
    <t>1527</t>
  </si>
  <si>
    <t>Hàng nhận tài trợ</t>
  </si>
  <si>
    <t>1528</t>
  </si>
  <si>
    <t>Thực phẩm Nhà ăn</t>
  </si>
  <si>
    <t>Công cụ, dụng cụ</t>
  </si>
  <si>
    <t>1531</t>
  </si>
  <si>
    <t>Cụng cụ, dụng cụ KCB</t>
  </si>
  <si>
    <t>1532</t>
  </si>
  <si>
    <t>CCDC Văn phòng</t>
  </si>
  <si>
    <t>154</t>
  </si>
  <si>
    <t>Chi phí SXKD dở dang</t>
  </si>
  <si>
    <t>156</t>
  </si>
  <si>
    <t>Hàng hóa</t>
  </si>
  <si>
    <t>1561</t>
  </si>
  <si>
    <t>Thuốc và Vật tư Y tế</t>
  </si>
  <si>
    <t>1562</t>
  </si>
  <si>
    <t>Hàng hóa Nhà ăn</t>
  </si>
  <si>
    <t>1567</t>
  </si>
  <si>
    <t>Máy trợ thính</t>
  </si>
  <si>
    <t>Tài sản cố định hữu hình</t>
  </si>
  <si>
    <t>2111</t>
  </si>
  <si>
    <t>Nhà cửa, vật kiến trúc</t>
  </si>
  <si>
    <t>2112</t>
  </si>
  <si>
    <t>Máy móc, thiết bị</t>
  </si>
  <si>
    <t>2113</t>
  </si>
  <si>
    <t>Phương tiện vận tải, truyền dẫn</t>
  </si>
  <si>
    <t>2114</t>
  </si>
  <si>
    <t>Thiết bị, dụng cụ quản lý</t>
  </si>
  <si>
    <t>2118</t>
  </si>
  <si>
    <t>Tài sản cố định khác</t>
  </si>
  <si>
    <t>TSCĐ vô hình</t>
  </si>
  <si>
    <t>2135</t>
  </si>
  <si>
    <t>Chương trình phần mềm</t>
  </si>
  <si>
    <t>Hao mòn tài sản cố định</t>
  </si>
  <si>
    <t>2141</t>
  </si>
  <si>
    <t>Hao mòn TSCĐ hữu hình</t>
  </si>
  <si>
    <t>21411</t>
  </si>
  <si>
    <t>Hao mòn nhà cửa, vật kiến trúc</t>
  </si>
  <si>
    <t>21412</t>
  </si>
  <si>
    <t>Hao mòn máy móc, thiết bị</t>
  </si>
  <si>
    <t>21413</t>
  </si>
  <si>
    <t>Hao mòn phương tiện vận tải</t>
  </si>
  <si>
    <t>21414</t>
  </si>
  <si>
    <t>Hao mòn dụng cụ, thiết bị quản lý</t>
  </si>
  <si>
    <t>21418</t>
  </si>
  <si>
    <t>Hao mòn TSCĐ khác</t>
  </si>
  <si>
    <t>2143</t>
  </si>
  <si>
    <t>Hao mòn TSCĐ vô hình</t>
  </si>
  <si>
    <t>21435</t>
  </si>
  <si>
    <t>Khấu hao phần mềm quản lý</t>
  </si>
  <si>
    <t>Chi phí chờ phân bổ</t>
  </si>
  <si>
    <t>2421</t>
  </si>
  <si>
    <t>Chi phí chờ phân bổ NH</t>
  </si>
  <si>
    <t>24212</t>
  </si>
  <si>
    <t>Công cụ, dụng cụ xuất dùng</t>
  </si>
  <si>
    <t>2422</t>
  </si>
  <si>
    <t>Chi phí chờ phân bổ DH</t>
  </si>
  <si>
    <t>24222</t>
  </si>
  <si>
    <t>Phải trả cho người bán</t>
  </si>
  <si>
    <t>3311</t>
  </si>
  <si>
    <t>Phải trả ngắn hạn người bán</t>
  </si>
  <si>
    <t>33111</t>
  </si>
  <si>
    <t>Phải trả cho người bán: hoạt động SXKD</t>
  </si>
  <si>
    <t>331111</t>
  </si>
  <si>
    <t>Phải trả ngắn hạn người bán: HĐ SXKD (VND)</t>
  </si>
  <si>
    <t>Thuế và các khoản phải nộp Nhà nước</t>
  </si>
  <si>
    <t>3331</t>
  </si>
  <si>
    <t>Thuế GTGT phải nộp</t>
  </si>
  <si>
    <t>33311</t>
  </si>
  <si>
    <t>Thuế GTGT phải nộp hàng trong nước</t>
  </si>
  <si>
    <t>3334</t>
  </si>
  <si>
    <t>Thuế thu nhập doanh nghiệp</t>
  </si>
  <si>
    <t>3335</t>
  </si>
  <si>
    <t>Thuế thu nhập cá nhân</t>
  </si>
  <si>
    <t>Phải trả người lao động</t>
  </si>
  <si>
    <t>3341</t>
  </si>
  <si>
    <t>Phải trả Nhân viên trực tiếp</t>
  </si>
  <si>
    <t>3342</t>
  </si>
  <si>
    <t>Phải trả nhân viên gián tiếp</t>
  </si>
  <si>
    <t>3348</t>
  </si>
  <si>
    <t>Phải trả người lao động khác</t>
  </si>
  <si>
    <t>Phải trả, phải nộp khác</t>
  </si>
  <si>
    <t>3383</t>
  </si>
  <si>
    <t>Bảo hiểm xã hội</t>
  </si>
  <si>
    <t>3388</t>
  </si>
  <si>
    <t>33881</t>
  </si>
  <si>
    <t>Phải trả, phải nộp ngắn hạn khác</t>
  </si>
  <si>
    <t>338811</t>
  </si>
  <si>
    <t>Phải trả, phải nộp khác: HĐ SXKD</t>
  </si>
  <si>
    <t>352</t>
  </si>
  <si>
    <t>Dự phòng phải trả</t>
  </si>
  <si>
    <t>3525</t>
  </si>
  <si>
    <t>Dự phòng phải trả khác</t>
  </si>
  <si>
    <t>35251</t>
  </si>
  <si>
    <t>353</t>
  </si>
  <si>
    <t>Quỹ khen thưởng, phúc lợi</t>
  </si>
  <si>
    <t>3531</t>
  </si>
  <si>
    <t>Quỹ khen thưởng</t>
  </si>
  <si>
    <t>Vốn đầu tư của chủ sở hữu</t>
  </si>
  <si>
    <t>4111</t>
  </si>
  <si>
    <t>Vốn góp của chủ sở hữu</t>
  </si>
  <si>
    <t>41111</t>
  </si>
  <si>
    <t>Cổ phiếu phổ thông có quyền biểu quyết</t>
  </si>
  <si>
    <t>421</t>
  </si>
  <si>
    <t>Lợi nhuận sau thuế chưa phân phối</t>
  </si>
  <si>
    <t>4211</t>
  </si>
  <si>
    <t>Lợi nhuận sau thuế chưa phân phối lũy kế đến cuối năm trước</t>
  </si>
  <si>
    <t>4212</t>
  </si>
  <si>
    <t>Lợi nhuận sau thuế chưa phân phối năm nay</t>
  </si>
  <si>
    <t>511</t>
  </si>
  <si>
    <t>Doanh thu bán hàng và cung cấp dịch vụ</t>
  </si>
  <si>
    <t>5111</t>
  </si>
  <si>
    <t>Doanh thu bán thuốc và VTYT</t>
  </si>
  <si>
    <t>5112</t>
  </si>
  <si>
    <t>Doanh thu Khám chữa bệnh</t>
  </si>
  <si>
    <t>51121</t>
  </si>
  <si>
    <t>Doanh thu KCB BHYT chi trả</t>
  </si>
  <si>
    <t>51122</t>
  </si>
  <si>
    <t>Doanh thu KCB Bệnh nhân chi trả</t>
  </si>
  <si>
    <t>5113</t>
  </si>
  <si>
    <t>Doanh thu cung cấp dịch vụ</t>
  </si>
  <si>
    <t>51131</t>
  </si>
  <si>
    <t>Doanh thu Nhà ăn</t>
  </si>
  <si>
    <t>51132</t>
  </si>
  <si>
    <t>Doanh thu giữ xe</t>
  </si>
  <si>
    <t>51133</t>
  </si>
  <si>
    <t>Doanh thu trợ thính</t>
  </si>
  <si>
    <t>515</t>
  </si>
  <si>
    <t>Doanh thu hoạt động tài chính</t>
  </si>
  <si>
    <t>5151</t>
  </si>
  <si>
    <t>Lãi tiền cho vay, tiền gửi</t>
  </si>
  <si>
    <t>5157</t>
  </si>
  <si>
    <t>Chiết khấu thanh toán được hưởng</t>
  </si>
  <si>
    <t>621</t>
  </si>
  <si>
    <t>Chi phí NVL trực tiếp</t>
  </si>
  <si>
    <t>622</t>
  </si>
  <si>
    <t>Chi phí nhân công trực tiếp</t>
  </si>
  <si>
    <t>627</t>
  </si>
  <si>
    <t>Chi phí sản xuất chung</t>
  </si>
  <si>
    <t>6271</t>
  </si>
  <si>
    <t>Chi phí nhân viên phân xưởng</t>
  </si>
  <si>
    <t>6273</t>
  </si>
  <si>
    <t>Chi phí dụng cụ sản xuất</t>
  </si>
  <si>
    <t>6274</t>
  </si>
  <si>
    <t>Chi phí khấu hao TSCĐ</t>
  </si>
  <si>
    <t>6277</t>
  </si>
  <si>
    <t>Chi phí dịch vụ mua ngoài</t>
  </si>
  <si>
    <t>6278</t>
  </si>
  <si>
    <t>Chi phí  bằng tiền khác</t>
  </si>
  <si>
    <t>632</t>
  </si>
  <si>
    <t>Giá vốn hàng bán</t>
  </si>
  <si>
    <t>6321</t>
  </si>
  <si>
    <t>Giá vốn hàng bán : Thuốc &amp; VTYT</t>
  </si>
  <si>
    <t>6322</t>
  </si>
  <si>
    <t>Giá vốn DV KCB</t>
  </si>
  <si>
    <t>6323</t>
  </si>
  <si>
    <t>Giá vốn dịch vụ trợ thính</t>
  </si>
  <si>
    <t>6324</t>
  </si>
  <si>
    <t>Giá vốn dịch vụ nhà ăn</t>
  </si>
  <si>
    <t>642</t>
  </si>
  <si>
    <t>Chi phí quản lý doanh nghiệp</t>
  </si>
  <si>
    <t>6421</t>
  </si>
  <si>
    <t>Chi phí nhân viên quản lý</t>
  </si>
  <si>
    <t>6423</t>
  </si>
  <si>
    <t>Chi phí đồ dùng văn phòng</t>
  </si>
  <si>
    <t>6424</t>
  </si>
  <si>
    <t>6427</t>
  </si>
  <si>
    <t>6428</t>
  </si>
  <si>
    <t>Chi phí bằng tiền khác</t>
  </si>
  <si>
    <t>711</t>
  </si>
  <si>
    <t>Thu nhập khác</t>
  </si>
  <si>
    <t>7111</t>
  </si>
  <si>
    <t>Thu nhập khác: được thưởng, bồi thường</t>
  </si>
  <si>
    <t>821</t>
  </si>
  <si>
    <t>Chi phí thuế thu nhập doanh nghiệp</t>
  </si>
  <si>
    <t>8211</t>
  </si>
  <si>
    <t>Chi phí thuế TNDN hiện hành</t>
  </si>
  <si>
    <t>82111</t>
  </si>
  <si>
    <t>Chi phí thuế thu nhập doanh nghiệp hiện hành theo quy định của Luật thuế thu nhập doanh nghiệp</t>
  </si>
  <si>
    <t>911</t>
  </si>
  <si>
    <t>Xác định kết quả kinh doanh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</si>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</sst>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0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Calibri"/>
      <family val="2"/>
      <scheme val="minor"/>
    </font>
    <font>
      <sz val="9"/>
      <name val="Times New Roman"/>
      <family val="1"/>
    </font>
    <font>
      <b/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4" xfId="0" applyFont="1" applyBorder="1"/>
    <xf numFmtId="0" fontId="7" fillId="0" borderId="4" xfId="0" applyFont="1" applyBorder="1" applyAlignment="1"/>
    <xf numFmtId="0" fontId="1" fillId="0" borderId="0" xfId="0" applyFont="1" applyAlignment="1">
      <alignment vertical="center"/>
    </xf>
    <xf numFmtId="0" fontId="2" fillId="0" borderId="9" xfId="0" applyFont="1" applyBorder="1" applyAlignment="1">
      <alignment horizontal="right"/>
    </xf>
    <xf numFmtId="0" fontId="8" fillId="0" borderId="0" xfId="0" applyFont="1" applyBorder="1" applyAlignment="1"/>
    <xf numFmtId="14" fontId="8" fillId="0" borderId="0" xfId="0" applyNumberFormat="1" applyFont="1" applyBorder="1" applyAlignment="1"/>
    <xf numFmtId="0" fontId="1" fillId="0" borderId="0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165" fontId="7" fillId="0" borderId="0" xfId="0" applyNumberFormat="1" applyFont="1"/>
    <xf numFmtId="0" fontId="14" fillId="0" borderId="0" xfId="0" applyFont="1"/>
    <xf numFmtId="14" fontId="14" fillId="0" borderId="0" xfId="0" applyNumberFormat="1" applyFont="1"/>
    <xf numFmtId="0" fontId="2" fillId="2" borderId="13" xfId="0" applyFont="1" applyFill="1" applyBorder="1" applyAlignment="1">
      <alignment horizontal="center" vertical="center"/>
    </xf>
    <xf numFmtId="165" fontId="2" fillId="0" borderId="15" xfId="0" applyNumberFormat="1" applyFont="1" applyBorder="1" applyAlignment="1">
      <alignment horizontal="right" vertical="center"/>
    </xf>
    <xf numFmtId="165" fontId="1" fillId="0" borderId="15" xfId="0" applyNumberFormat="1" applyFont="1" applyBorder="1" applyAlignment="1">
      <alignment horizontal="right" vertical="center"/>
    </xf>
    <xf numFmtId="0" fontId="8" fillId="0" borderId="0" xfId="0" applyFont="1"/>
    <xf numFmtId="14" fontId="8" fillId="0" borderId="0" xfId="0" applyNumberFormat="1" applyFont="1"/>
    <xf numFmtId="0" fontId="1" fillId="0" borderId="4" xfId="0" applyFont="1" applyBorder="1"/>
    <xf numFmtId="0" fontId="1" fillId="0" borderId="4" xfId="0" applyFont="1" applyBorder="1" applyAlignment="1"/>
    <xf numFmtId="165" fontId="15" fillId="0" borderId="14" xfId="0" applyNumberFormat="1" applyFont="1" applyBorder="1" applyAlignment="1">
      <alignment horizontal="right" vertical="center"/>
    </xf>
    <xf numFmtId="37" fontId="16" fillId="0" borderId="15" xfId="0" applyNumberFormat="1" applyFont="1" applyBorder="1" applyAlignment="1" applyProtection="1">
      <alignment vertical="center"/>
      <protection locked="0"/>
    </xf>
    <xf numFmtId="165" fontId="2" fillId="0" borderId="15" xfId="0" applyNumberFormat="1" applyFont="1" applyBorder="1" applyAlignment="1">
      <alignment vertical="center"/>
    </xf>
    <xf numFmtId="165" fontId="1" fillId="0" borderId="0" xfId="0" applyNumberFormat="1" applyFont="1"/>
    <xf numFmtId="0" fontId="16" fillId="0" borderId="0" xfId="0" applyFont="1" applyAlignment="1"/>
    <xf numFmtId="0" fontId="16" fillId="0" borderId="0" xfId="0" applyFont="1" applyBorder="1" applyAlignment="1"/>
    <xf numFmtId="0" fontId="17" fillId="3" borderId="0" xfId="0" applyFont="1" applyFill="1"/>
    <xf numFmtId="164" fontId="16" fillId="3" borderId="5" xfId="0" applyNumberFormat="1" applyFont="1" applyFill="1" applyBorder="1" applyAlignment="1">
      <alignment horizontal="right" vertical="center"/>
    </xf>
    <xf numFmtId="0" fontId="17" fillId="3" borderId="4" xfId="0" applyFont="1" applyFill="1" applyBorder="1" applyAlignment="1"/>
    <xf numFmtId="0" fontId="17" fillId="3" borderId="4" xfId="0" applyFont="1" applyFill="1" applyBorder="1"/>
    <xf numFmtId="0" fontId="16" fillId="3" borderId="0" xfId="0" applyFont="1" applyFill="1" applyAlignment="1"/>
    <xf numFmtId="0" fontId="18" fillId="3" borderId="0" xfId="0" applyFont="1" applyFill="1"/>
    <xf numFmtId="0" fontId="18" fillId="3" borderId="0" xfId="0" applyFont="1" applyFill="1" applyBorder="1" applyAlignment="1"/>
    <xf numFmtId="0" fontId="16" fillId="3" borderId="0" xfId="0" applyFont="1" applyFill="1" applyBorder="1" applyAlignment="1"/>
    <xf numFmtId="0" fontId="8" fillId="0" borderId="0" xfId="0" applyFont="1" applyAlignment="1"/>
    <xf numFmtId="0" fontId="15" fillId="0" borderId="0" xfId="0" applyFont="1" applyBorder="1" applyAlignment="1"/>
    <xf numFmtId="0" fontId="16" fillId="0" borderId="0" xfId="0" applyFont="1" applyBorder="1" applyAlignment="1">
      <alignment horizontal="center"/>
    </xf>
    <xf numFmtId="0" fontId="19" fillId="0" borderId="0" xfId="0" applyFont="1" applyBorder="1" applyAlignment="1"/>
    <xf numFmtId="0" fontId="8" fillId="0" borderId="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6" xfId="0" applyFont="1" applyBorder="1" applyAlignment="1">
      <alignment horizontal="center"/>
    </xf>
    <xf numFmtId="0" fontId="18" fillId="0" borderId="0" xfId="0" applyFont="1" applyAlignment="1"/>
    <xf numFmtId="0" fontId="1" fillId="0" borderId="26" xfId="0" applyFont="1" applyBorder="1" applyAlignment="1">
      <alignment horizontal="center" shrinkToFit="1"/>
    </xf>
    <xf numFmtId="164" fontId="1" fillId="0" borderId="26" xfId="0" applyNumberFormat="1" applyFont="1" applyBorder="1" applyAlignment="1">
      <alignment horizontal="right" shrinkToFit="1"/>
    </xf>
    <xf numFmtId="0" fontId="1" fillId="0" borderId="26" xfId="0" applyFont="1" applyBorder="1" applyAlignment="1">
      <alignment shrinkToFi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5" fontId="13" fillId="0" borderId="6" xfId="0" applyNumberFormat="1" applyFont="1" applyBorder="1" applyAlignment="1">
      <alignment horizontal="right" vertical="center"/>
    </xf>
    <xf numFmtId="165" fontId="13" fillId="0" borderId="10" xfId="0" applyNumberFormat="1" applyFont="1" applyBorder="1" applyAlignment="1">
      <alignment horizontal="right" vertical="center"/>
    </xf>
    <xf numFmtId="165" fontId="13" fillId="0" borderId="11" xfId="0" applyNumberFormat="1" applyFont="1" applyBorder="1" applyAlignment="1">
      <alignment horizontal="right" vertical="center"/>
    </xf>
    <xf numFmtId="165" fontId="13" fillId="0" borderId="12" xfId="0" applyNumberFormat="1" applyFont="1" applyBorder="1" applyAlignment="1">
      <alignment horizontal="right" vertical="center"/>
    </xf>
    <xf numFmtId="165" fontId="1" fillId="0" borderId="10" xfId="0" applyNumberFormat="1" applyFont="1" applyBorder="1" applyAlignment="1">
      <alignment horizontal="right" vertical="center"/>
    </xf>
    <xf numFmtId="165" fontId="1" fillId="0" borderId="11" xfId="0" applyNumberFormat="1" applyFont="1" applyBorder="1" applyAlignment="1">
      <alignment horizontal="right" vertical="center"/>
    </xf>
    <xf numFmtId="165" fontId="1" fillId="0" borderId="12" xfId="0" applyNumberFormat="1" applyFont="1" applyBorder="1" applyAlignment="1">
      <alignment horizontal="right" vertical="center"/>
    </xf>
    <xf numFmtId="165" fontId="12" fillId="0" borderId="6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right" vertical="center"/>
    </xf>
    <xf numFmtId="165" fontId="1" fillId="0" borderId="15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right" vertical="center"/>
    </xf>
    <xf numFmtId="165" fontId="1" fillId="0" borderId="14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15" fillId="3" borderId="6" xfId="0" applyNumberFormat="1" applyFont="1" applyFill="1" applyBorder="1" applyAlignment="1">
      <alignment horizontal="right" vertical="center"/>
    </xf>
    <xf numFmtId="165" fontId="16" fillId="3" borderId="7" xfId="0" applyNumberFormat="1" applyFont="1" applyFill="1" applyBorder="1" applyAlignment="1">
      <alignment horizontal="right" vertical="center"/>
    </xf>
    <xf numFmtId="165" fontId="16" fillId="3" borderId="8" xfId="0" applyNumberFormat="1" applyFont="1" applyFill="1" applyBorder="1" applyAlignment="1">
      <alignment horizontal="right" vertical="center"/>
    </xf>
    <xf numFmtId="165" fontId="2" fillId="0" borderId="6" xfId="0" applyNumberFormat="1" applyFont="1" applyBorder="1" applyAlignment="1">
      <alignment horizontal="right" vertical="center"/>
    </xf>
    <xf numFmtId="165" fontId="16" fillId="3" borderId="6" xfId="0" applyNumberFormat="1" applyFont="1" applyFill="1" applyBorder="1" applyAlignment="1">
      <alignment horizontal="right" vertical="center"/>
    </xf>
    <xf numFmtId="165" fontId="15" fillId="3" borderId="10" xfId="0" applyNumberFormat="1" applyFont="1" applyFill="1" applyBorder="1" applyAlignment="1">
      <alignment horizontal="right" vertical="center"/>
    </xf>
    <xf numFmtId="165" fontId="15" fillId="3" borderId="11" xfId="0" applyNumberFormat="1" applyFont="1" applyFill="1" applyBorder="1" applyAlignment="1">
      <alignment horizontal="right" vertical="center"/>
    </xf>
    <xf numFmtId="165" fontId="15" fillId="3" borderId="12" xfId="0" applyNumberFormat="1" applyFont="1" applyFill="1" applyBorder="1" applyAlignment="1">
      <alignment horizontal="right" vertical="center"/>
    </xf>
    <xf numFmtId="165" fontId="2" fillId="0" borderId="16" xfId="0" applyNumberFormat="1" applyFont="1" applyBorder="1" applyAlignment="1">
      <alignment horizontal="right" vertical="center"/>
    </xf>
    <xf numFmtId="165" fontId="2" fillId="0" borderId="17" xfId="0" applyNumberFormat="1" applyFont="1" applyBorder="1" applyAlignment="1">
      <alignment horizontal="right" vertical="center"/>
    </xf>
    <xf numFmtId="165" fontId="2" fillId="0" borderId="18" xfId="0" applyNumberFormat="1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6" fontId="2" fillId="0" borderId="13" xfId="0" applyNumberFormat="1" applyFont="1" applyBorder="1" applyAlignment="1">
      <alignment horizontal="right" shrinkToFit="1"/>
    </xf>
    <xf numFmtId="0" fontId="2" fillId="0" borderId="0" xfId="0" applyFont="1" applyBorder="1" applyAlignment="1">
      <alignment horizontal="right"/>
    </xf>
    <xf numFmtId="166" fontId="2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166" fontId="2" fillId="0" borderId="2" xfId="0" applyNumberFormat="1" applyFont="1" applyBorder="1" applyAlignment="1">
      <alignment horizontal="right" shrinkToFit="1"/>
    </xf>
    <xf numFmtId="166" fontId="2" fillId="0" borderId="1" xfId="0" applyNumberFormat="1" applyFont="1" applyBorder="1" applyAlignment="1">
      <alignment horizontal="right" shrinkToFit="1"/>
    </xf>
    <xf numFmtId="166" fontId="2" fillId="0" borderId="3" xfId="0" applyNumberFormat="1" applyFont="1" applyBorder="1" applyAlignment="1">
      <alignment horizontal="right" shrinkToFit="1"/>
    </xf>
    <xf numFmtId="165" fontId="1" fillId="0" borderId="23" xfId="0" applyNumberFormat="1" applyFont="1" applyBorder="1" applyAlignment="1">
      <alignment horizontal="right" shrinkToFit="1"/>
    </xf>
    <xf numFmtId="165" fontId="1" fillId="0" borderId="25" xfId="0" applyNumberFormat="1" applyFont="1" applyBorder="1" applyAlignment="1">
      <alignment horizontal="right" shrinkToFit="1"/>
    </xf>
    <xf numFmtId="165" fontId="1" fillId="0" borderId="24" xfId="0" applyNumberFormat="1" applyFont="1" applyBorder="1" applyAlignment="1">
      <alignment horizontal="right" shrinkToFit="1"/>
    </xf>
    <xf numFmtId="14" fontId="1" fillId="0" borderId="23" xfId="0" applyNumberFormat="1" applyFont="1" applyBorder="1" applyAlignment="1">
      <alignment horizontal="left"/>
    </xf>
    <xf numFmtId="14" fontId="1" fillId="0" borderId="24" xfId="0" applyNumberFormat="1" applyFont="1" applyBorder="1" applyAlignment="1">
      <alignment horizontal="left"/>
    </xf>
    <xf numFmtId="14" fontId="1" fillId="0" borderId="25" xfId="0" applyNumberFormat="1" applyFont="1" applyBorder="1" applyAlignment="1">
      <alignment horizontal="lef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6" fontId="2" fillId="0" borderId="9" xfId="0" applyNumberFormat="1" applyFont="1" applyBorder="1" applyAlignment="1">
      <alignment horizontal="right"/>
    </xf>
    <xf numFmtId="0" fontId="2" fillId="2" borderId="1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0000"/>
      <color rgb="FFFF66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&#272;ANG%20L&#192;M\B&#7843;ng%20k&#234;%20ch&#7913;ng%20t&#7915;%20-%20202607151418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BENH%20VIEN%20TMHMT%20HOE/1.N&#258;M%202026/5.%20GIA%20THANH%202026/1.%20GIA%20THANH%20T1%20&#272;EN%20T6-2026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Sheet1"/>
    </sheetNames>
    <sheetDataSet>
      <sheetData sheetId="0">
        <row r="524">
          <cell r="K524">
            <v>650000000</v>
          </cell>
        </row>
        <row r="691">
          <cell r="K691">
            <v>1000000000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y trình"/>
      <sheetName val="SO SÁNH"/>
      <sheetName val="Z2020"/>
      <sheetName val="Z2021"/>
      <sheetName val="TH Z_2022"/>
      <sheetName val="Kế hoạch thuế tháng"/>
      <sheetName val="GIÁ THÀNH"/>
      <sheetName val="DOANH THU"/>
      <sheetName val="CHI PHÍ"/>
      <sheetName val="PTich trợ thính , nhà ăn, thuốc"/>
      <sheetName val="Doanh thu nhà ăn"/>
      <sheetName val="TH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F5">
            <v>39648487368.630005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W144"/>
  <sheetViews>
    <sheetView showGridLines="0" showRuler="0" topLeftCell="A116" zoomScaleNormal="100" workbookViewId="0">
      <selection activeCell="U117" sqref="U117"/>
    </sheetView>
  </sheetViews>
  <sheetFormatPr defaultColWidth="9.140625" defaultRowHeight="12.75" x14ac:dyDescent="0.2"/>
  <cols>
    <col min="1" max="7" width="4.85546875" style="6" customWidth="1"/>
    <col min="8" max="8" width="6.85546875" style="6" customWidth="1"/>
    <col min="9" max="16" width="4.85546875" style="6" customWidth="1"/>
    <col min="17" max="17" width="8" style="6" customWidth="1"/>
    <col min="18" max="19" width="4.85546875" style="6" customWidth="1"/>
    <col min="20" max="20" width="8.28515625" style="6" customWidth="1"/>
    <col min="21" max="21" width="14.5703125" style="6" bestFit="1" customWidth="1"/>
    <col min="22" max="16384" width="9.140625" style="6"/>
  </cols>
  <sheetData>
    <row r="1" spans="1:23" ht="24.75" hidden="1" customHeight="1" x14ac:dyDescent="0.2">
      <c r="B1" s="21" t="s">
        <v>18</v>
      </c>
      <c r="C1" s="21">
        <v>1</v>
      </c>
      <c r="D1" s="22">
        <v>45839</v>
      </c>
      <c r="E1" s="22">
        <v>46203</v>
      </c>
      <c r="F1" s="21" t="s">
        <v>5</v>
      </c>
      <c r="N1" s="21" t="s">
        <v>0</v>
      </c>
    </row>
    <row r="2" spans="1:23" ht="15.6" customHeight="1" x14ac:dyDescent="0.2">
      <c r="A2" s="4"/>
      <c r="D2" s="4"/>
      <c r="E2" s="4"/>
      <c r="F2" s="4"/>
      <c r="G2" s="4"/>
      <c r="H2" s="4"/>
      <c r="I2" s="4"/>
      <c r="J2" s="4"/>
      <c r="K2" s="4"/>
      <c r="L2" s="4"/>
      <c r="M2" s="4"/>
      <c r="O2" s="90" t="s">
        <v>19</v>
      </c>
      <c r="P2" s="90"/>
      <c r="Q2" s="90"/>
      <c r="R2" s="90"/>
      <c r="S2" s="90"/>
      <c r="T2" s="90"/>
    </row>
    <row r="3" spans="1:23" ht="15.6" customHeight="1" x14ac:dyDescent="0.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91" t="s">
        <v>20</v>
      </c>
      <c r="P3" s="91"/>
      <c r="Q3" s="91"/>
      <c r="R3" s="91"/>
      <c r="S3" s="91"/>
      <c r="T3" s="91"/>
    </row>
    <row r="4" spans="1:23" ht="15.6" customHeight="1" x14ac:dyDescent="0.2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90" t="s">
        <v>21</v>
      </c>
      <c r="P4" s="90"/>
      <c r="Q4" s="90"/>
      <c r="R4" s="90"/>
      <c r="S4" s="90"/>
      <c r="T4" s="90"/>
    </row>
    <row r="5" spans="1:23" ht="15.6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90" t="s">
        <v>22</v>
      </c>
      <c r="P5" s="90"/>
      <c r="Q5" s="90"/>
      <c r="R5" s="90"/>
      <c r="S5" s="90"/>
      <c r="T5" s="90"/>
    </row>
    <row r="6" spans="1:23" ht="15.6" customHeight="1" x14ac:dyDescent="0.2">
      <c r="A6" s="2"/>
      <c r="B6" s="2"/>
      <c r="C6" s="2"/>
      <c r="D6" s="2"/>
      <c r="E6" s="2"/>
      <c r="F6" s="2"/>
      <c r="G6" s="2"/>
      <c r="H6" s="2"/>
      <c r="O6" s="90"/>
      <c r="P6" s="90"/>
      <c r="Q6" s="90"/>
      <c r="R6" s="90"/>
      <c r="S6" s="90"/>
      <c r="T6" s="90"/>
    </row>
    <row r="7" spans="1:23" ht="28.35" customHeight="1" x14ac:dyDescent="0.2">
      <c r="A7" s="92" t="s">
        <v>3</v>
      </c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V7" s="11"/>
      <c r="W7" s="11"/>
    </row>
    <row r="8" spans="1:23" s="1" customFormat="1" ht="15.6" customHeight="1" x14ac:dyDescent="0.2">
      <c r="A8" s="90" t="s">
        <v>23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5"/>
      <c r="W8" s="19"/>
    </row>
    <row r="9" spans="1:23" s="1" customFormat="1" ht="15.6" customHeight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96" t="s">
        <v>4</v>
      </c>
      <c r="P9" s="96"/>
      <c r="Q9" s="96"/>
      <c r="R9" s="96"/>
      <c r="S9" s="96"/>
      <c r="T9" s="20" t="s">
        <v>5</v>
      </c>
      <c r="U9" s="5"/>
    </row>
    <row r="10" spans="1:23" ht="22.5" customHeight="1" x14ac:dyDescent="0.2">
      <c r="A10" s="84" t="s">
        <v>6</v>
      </c>
      <c r="B10" s="87"/>
      <c r="C10" s="87"/>
      <c r="D10" s="87"/>
      <c r="E10" s="87"/>
      <c r="F10" s="87"/>
      <c r="G10" s="87"/>
      <c r="H10" s="87"/>
      <c r="I10" s="88"/>
      <c r="J10" s="84" t="s">
        <v>7</v>
      </c>
      <c r="K10" s="88"/>
      <c r="L10" s="84" t="s">
        <v>8</v>
      </c>
      <c r="M10" s="87"/>
      <c r="N10" s="88"/>
      <c r="O10" s="84" t="str">
        <f>IF("1" = "1","Số cuối năm","Số cuối kỳ")</f>
        <v>Số cuối năm</v>
      </c>
      <c r="P10" s="85"/>
      <c r="Q10" s="86"/>
      <c r="R10" s="84" t="s">
        <v>9</v>
      </c>
      <c r="S10" s="85"/>
      <c r="T10" s="86"/>
    </row>
    <row r="11" spans="1:23" ht="22.5" customHeight="1" x14ac:dyDescent="0.2">
      <c r="A11" s="81">
        <v>1</v>
      </c>
      <c r="B11" s="82"/>
      <c r="C11" s="82"/>
      <c r="D11" s="82"/>
      <c r="E11" s="82"/>
      <c r="F11" s="82"/>
      <c r="G11" s="82"/>
      <c r="H11" s="82"/>
      <c r="I11" s="83"/>
      <c r="J11" s="81">
        <v>2</v>
      </c>
      <c r="K11" s="83"/>
      <c r="L11" s="81">
        <v>3</v>
      </c>
      <c r="M11" s="82"/>
      <c r="N11" s="83"/>
      <c r="O11" s="81">
        <v>4</v>
      </c>
      <c r="P11" s="82"/>
      <c r="Q11" s="83"/>
      <c r="R11" s="81">
        <v>5</v>
      </c>
      <c r="S11" s="82"/>
      <c r="T11" s="83"/>
    </row>
    <row r="12" spans="1:23" ht="15" customHeight="1" x14ac:dyDescent="0.2">
      <c r="A12" s="64" t="s">
        <v>24</v>
      </c>
      <c r="B12" s="62"/>
      <c r="C12" s="62"/>
      <c r="D12" s="62"/>
      <c r="E12" s="62"/>
      <c r="F12" s="62"/>
      <c r="G12" s="62"/>
      <c r="H12" s="62"/>
      <c r="I12" s="63"/>
      <c r="J12" s="67" t="s">
        <v>25</v>
      </c>
      <c r="K12" s="66"/>
      <c r="L12" s="69"/>
      <c r="M12" s="65"/>
      <c r="N12" s="66"/>
      <c r="O12" s="73">
        <f>O13+O16+O23+O31+O34+O38</f>
        <v>49099156050</v>
      </c>
      <c r="P12" s="71"/>
      <c r="Q12" s="72"/>
      <c r="R12" s="73">
        <f>R13+R16+R23+R31+R34+R38</f>
        <v>67529794346</v>
      </c>
      <c r="S12" s="71"/>
      <c r="T12" s="72"/>
    </row>
    <row r="13" spans="1:23" ht="15" customHeight="1" x14ac:dyDescent="0.2">
      <c r="A13" s="64" t="s">
        <v>26</v>
      </c>
      <c r="B13" s="62"/>
      <c r="C13" s="62"/>
      <c r="D13" s="62"/>
      <c r="E13" s="62"/>
      <c r="F13" s="62"/>
      <c r="G13" s="62"/>
      <c r="H13" s="62"/>
      <c r="I13" s="63"/>
      <c r="J13" s="67" t="s">
        <v>27</v>
      </c>
      <c r="K13" s="66"/>
      <c r="L13" s="69"/>
      <c r="M13" s="65"/>
      <c r="N13" s="66"/>
      <c r="O13" s="80">
        <v>3027416547</v>
      </c>
      <c r="P13" s="71"/>
      <c r="Q13" s="72"/>
      <c r="R13" s="73">
        <v>401179402</v>
      </c>
      <c r="S13" s="71"/>
      <c r="T13" s="72"/>
    </row>
    <row r="14" spans="1:23" ht="15" customHeight="1" x14ac:dyDescent="0.2">
      <c r="A14" s="61" t="s">
        <v>28</v>
      </c>
      <c r="B14" s="62"/>
      <c r="C14" s="62"/>
      <c r="D14" s="62"/>
      <c r="E14" s="62"/>
      <c r="F14" s="62"/>
      <c r="G14" s="62"/>
      <c r="H14" s="62"/>
      <c r="I14" s="63"/>
      <c r="J14" s="65" t="s">
        <v>29</v>
      </c>
      <c r="K14" s="66"/>
      <c r="L14" s="68"/>
      <c r="M14" s="65"/>
      <c r="N14" s="66"/>
      <c r="O14" s="70">
        <v>3027416547</v>
      </c>
      <c r="P14" s="71"/>
      <c r="Q14" s="72"/>
      <c r="R14" s="70">
        <v>401179402</v>
      </c>
      <c r="S14" s="71"/>
      <c r="T14" s="72"/>
    </row>
    <row r="15" spans="1:23" ht="15" customHeight="1" x14ac:dyDescent="0.2">
      <c r="A15" s="61" t="s">
        <v>30</v>
      </c>
      <c r="B15" s="62"/>
      <c r="C15" s="62"/>
      <c r="D15" s="62"/>
      <c r="E15" s="62"/>
      <c r="F15" s="62"/>
      <c r="G15" s="62"/>
      <c r="H15" s="62"/>
      <c r="I15" s="63"/>
      <c r="J15" s="65" t="s">
        <v>31</v>
      </c>
      <c r="K15" s="66"/>
      <c r="L15" s="68"/>
      <c r="M15" s="65"/>
      <c r="N15" s="66"/>
      <c r="O15" s="70">
        <v>0</v>
      </c>
      <c r="P15" s="71"/>
      <c r="Q15" s="72"/>
      <c r="R15" s="70">
        <v>0</v>
      </c>
      <c r="S15" s="71"/>
      <c r="T15" s="72"/>
    </row>
    <row r="16" spans="1:23" ht="15" customHeight="1" x14ac:dyDescent="0.2">
      <c r="A16" s="64" t="s">
        <v>32</v>
      </c>
      <c r="B16" s="62"/>
      <c r="C16" s="62"/>
      <c r="D16" s="62"/>
      <c r="E16" s="62"/>
      <c r="F16" s="62"/>
      <c r="G16" s="62"/>
      <c r="H16" s="62"/>
      <c r="I16" s="63"/>
      <c r="J16" s="67" t="s">
        <v>33</v>
      </c>
      <c r="K16" s="66"/>
      <c r="L16" s="69"/>
      <c r="M16" s="65"/>
      <c r="N16" s="66"/>
      <c r="O16" s="73">
        <f>SUM(O17:Q22)</f>
        <v>14500000000</v>
      </c>
      <c r="P16" s="71"/>
      <c r="Q16" s="72"/>
      <c r="R16" s="73">
        <f>SUM(R17:T22)</f>
        <v>44000000000</v>
      </c>
      <c r="S16" s="71"/>
      <c r="T16" s="72"/>
    </row>
    <row r="17" spans="1:20" ht="15" customHeight="1" x14ac:dyDescent="0.2">
      <c r="A17" s="61" t="s">
        <v>34</v>
      </c>
      <c r="B17" s="62"/>
      <c r="C17" s="62"/>
      <c r="D17" s="62"/>
      <c r="E17" s="62"/>
      <c r="F17" s="62"/>
      <c r="G17" s="62"/>
      <c r="H17" s="62"/>
      <c r="I17" s="63"/>
      <c r="J17" s="65" t="s">
        <v>35</v>
      </c>
      <c r="K17" s="66"/>
      <c r="L17" s="68"/>
      <c r="M17" s="65"/>
      <c r="N17" s="66"/>
      <c r="O17" s="70">
        <v>0</v>
      </c>
      <c r="P17" s="71"/>
      <c r="Q17" s="72"/>
      <c r="R17" s="70">
        <v>0</v>
      </c>
      <c r="S17" s="71"/>
      <c r="T17" s="72"/>
    </row>
    <row r="18" spans="1:20" ht="15" customHeight="1" x14ac:dyDescent="0.2">
      <c r="A18" s="61" t="s">
        <v>36</v>
      </c>
      <c r="B18" s="62"/>
      <c r="C18" s="62"/>
      <c r="D18" s="62"/>
      <c r="E18" s="62"/>
      <c r="F18" s="62"/>
      <c r="G18" s="62"/>
      <c r="H18" s="62"/>
      <c r="I18" s="63"/>
      <c r="J18" s="65" t="s">
        <v>37</v>
      </c>
      <c r="K18" s="66"/>
      <c r="L18" s="68"/>
      <c r="M18" s="65"/>
      <c r="N18" s="66"/>
      <c r="O18" s="70">
        <v>0</v>
      </c>
      <c r="P18" s="71"/>
      <c r="Q18" s="72"/>
      <c r="R18" s="70">
        <v>0</v>
      </c>
      <c r="S18" s="71"/>
      <c r="T18" s="72"/>
    </row>
    <row r="19" spans="1:20" ht="15" customHeight="1" x14ac:dyDescent="0.2">
      <c r="A19" s="61" t="s">
        <v>38</v>
      </c>
      <c r="B19" s="62"/>
      <c r="C19" s="62"/>
      <c r="D19" s="62"/>
      <c r="E19" s="62"/>
      <c r="F19" s="62"/>
      <c r="G19" s="62"/>
      <c r="H19" s="62"/>
      <c r="I19" s="63"/>
      <c r="J19" s="65" t="s">
        <v>39</v>
      </c>
      <c r="K19" s="66"/>
      <c r="L19" s="68"/>
      <c r="M19" s="65"/>
      <c r="N19" s="66"/>
      <c r="O19" s="70">
        <v>14500000000</v>
      </c>
      <c r="P19" s="71"/>
      <c r="Q19" s="72"/>
      <c r="R19" s="70">
        <v>44000000000</v>
      </c>
      <c r="S19" s="71"/>
      <c r="T19" s="72"/>
    </row>
    <row r="20" spans="1:20" ht="15" customHeight="1" x14ac:dyDescent="0.2">
      <c r="A20" s="61" t="s">
        <v>40</v>
      </c>
      <c r="B20" s="62"/>
      <c r="C20" s="62"/>
      <c r="D20" s="62"/>
      <c r="E20" s="62"/>
      <c r="F20" s="62"/>
      <c r="G20" s="62"/>
      <c r="H20" s="62"/>
      <c r="I20" s="63"/>
      <c r="J20" s="65" t="s">
        <v>41</v>
      </c>
      <c r="K20" s="66"/>
      <c r="L20" s="68"/>
      <c r="M20" s="65"/>
      <c r="N20" s="66"/>
      <c r="O20" s="70">
        <v>0</v>
      </c>
      <c r="P20" s="71"/>
      <c r="Q20" s="72"/>
      <c r="R20" s="70">
        <v>0</v>
      </c>
      <c r="S20" s="71"/>
      <c r="T20" s="72"/>
    </row>
    <row r="21" spans="1:20" ht="15" customHeight="1" x14ac:dyDescent="0.2">
      <c r="A21" s="61" t="s">
        <v>42</v>
      </c>
      <c r="B21" s="62"/>
      <c r="C21" s="62"/>
      <c r="D21" s="62"/>
      <c r="E21" s="62"/>
      <c r="F21" s="62"/>
      <c r="G21" s="62"/>
      <c r="H21" s="62"/>
      <c r="I21" s="63"/>
      <c r="J21" s="65" t="s">
        <v>43</v>
      </c>
      <c r="K21" s="66"/>
      <c r="L21" s="68"/>
      <c r="M21" s="65"/>
      <c r="N21" s="66"/>
      <c r="O21" s="70">
        <v>0</v>
      </c>
      <c r="P21" s="71"/>
      <c r="Q21" s="72"/>
      <c r="R21" s="70">
        <v>0</v>
      </c>
      <c r="S21" s="71"/>
      <c r="T21" s="72"/>
    </row>
    <row r="22" spans="1:20" ht="15" customHeight="1" x14ac:dyDescent="0.2">
      <c r="A22" s="61" t="s">
        <v>44</v>
      </c>
      <c r="B22" s="62"/>
      <c r="C22" s="62"/>
      <c r="D22" s="62"/>
      <c r="E22" s="62"/>
      <c r="F22" s="62"/>
      <c r="G22" s="62"/>
      <c r="H22" s="62"/>
      <c r="I22" s="63"/>
      <c r="J22" s="65" t="s">
        <v>45</v>
      </c>
      <c r="K22" s="66"/>
      <c r="L22" s="68"/>
      <c r="M22" s="65"/>
      <c r="N22" s="66"/>
      <c r="O22" s="70">
        <v>0</v>
      </c>
      <c r="P22" s="71"/>
      <c r="Q22" s="72"/>
      <c r="R22" s="70">
        <v>0</v>
      </c>
      <c r="S22" s="71"/>
      <c r="T22" s="72"/>
    </row>
    <row r="23" spans="1:20" ht="15" customHeight="1" x14ac:dyDescent="0.2">
      <c r="A23" s="64" t="s">
        <v>46</v>
      </c>
      <c r="B23" s="62"/>
      <c r="C23" s="62"/>
      <c r="D23" s="62"/>
      <c r="E23" s="62"/>
      <c r="F23" s="62"/>
      <c r="G23" s="62"/>
      <c r="H23" s="62"/>
      <c r="I23" s="63"/>
      <c r="J23" s="67" t="s">
        <v>47</v>
      </c>
      <c r="K23" s="66"/>
      <c r="L23" s="69"/>
      <c r="M23" s="65"/>
      <c r="N23" s="66"/>
      <c r="O23" s="73">
        <f>SUM(O24:Q30)</f>
        <v>29292194177</v>
      </c>
      <c r="P23" s="71"/>
      <c r="Q23" s="72"/>
      <c r="R23" s="73">
        <f>SUM(R24:T30)</f>
        <v>19765464574</v>
      </c>
      <c r="S23" s="71"/>
      <c r="T23" s="72"/>
    </row>
    <row r="24" spans="1:20" ht="15" customHeight="1" x14ac:dyDescent="0.2">
      <c r="A24" s="61" t="s">
        <v>48</v>
      </c>
      <c r="B24" s="62"/>
      <c r="C24" s="62"/>
      <c r="D24" s="62"/>
      <c r="E24" s="62"/>
      <c r="F24" s="62"/>
      <c r="G24" s="62"/>
      <c r="H24" s="62"/>
      <c r="I24" s="63"/>
      <c r="J24" s="65" t="s">
        <v>49</v>
      </c>
      <c r="K24" s="66"/>
      <c r="L24" s="68"/>
      <c r="M24" s="65"/>
      <c r="N24" s="66"/>
      <c r="O24" s="70">
        <v>6004623839</v>
      </c>
      <c r="P24" s="71"/>
      <c r="Q24" s="72"/>
      <c r="R24" s="70">
        <v>0</v>
      </c>
      <c r="S24" s="71"/>
      <c r="T24" s="72"/>
    </row>
    <row r="25" spans="1:20" ht="15" customHeight="1" x14ac:dyDescent="0.2">
      <c r="A25" s="61" t="s">
        <v>50</v>
      </c>
      <c r="B25" s="62"/>
      <c r="C25" s="62"/>
      <c r="D25" s="62"/>
      <c r="E25" s="62"/>
      <c r="F25" s="62"/>
      <c r="G25" s="62"/>
      <c r="H25" s="62"/>
      <c r="I25" s="63"/>
      <c r="J25" s="65" t="s">
        <v>51</v>
      </c>
      <c r="K25" s="66"/>
      <c r="L25" s="68"/>
      <c r="M25" s="65"/>
      <c r="N25" s="66"/>
      <c r="O25" s="70"/>
      <c r="P25" s="71"/>
      <c r="Q25" s="72"/>
      <c r="R25" s="77"/>
      <c r="S25" s="78"/>
      <c r="T25" s="79"/>
    </row>
    <row r="26" spans="1:20" ht="15" customHeight="1" x14ac:dyDescent="0.2">
      <c r="A26" s="61" t="s">
        <v>52</v>
      </c>
      <c r="B26" s="62"/>
      <c r="C26" s="62"/>
      <c r="D26" s="62"/>
      <c r="E26" s="62"/>
      <c r="F26" s="62"/>
      <c r="G26" s="62"/>
      <c r="H26" s="62"/>
      <c r="I26" s="63"/>
      <c r="J26" s="65" t="s">
        <v>53</v>
      </c>
      <c r="K26" s="66"/>
      <c r="L26" s="68"/>
      <c r="M26" s="65"/>
      <c r="N26" s="66"/>
      <c r="O26" s="70">
        <v>21233570338</v>
      </c>
      <c r="P26" s="71"/>
      <c r="Q26" s="72"/>
      <c r="R26" s="77">
        <v>19216464574</v>
      </c>
      <c r="S26" s="78"/>
      <c r="T26" s="79"/>
    </row>
    <row r="27" spans="1:20" ht="15" customHeight="1" x14ac:dyDescent="0.2">
      <c r="A27" s="61" t="s">
        <v>54</v>
      </c>
      <c r="B27" s="62"/>
      <c r="C27" s="62"/>
      <c r="D27" s="62"/>
      <c r="E27" s="62"/>
      <c r="F27" s="62"/>
      <c r="G27" s="62"/>
      <c r="H27" s="62"/>
      <c r="I27" s="63"/>
      <c r="J27" s="65" t="s">
        <v>55</v>
      </c>
      <c r="K27" s="66"/>
      <c r="L27" s="68"/>
      <c r="M27" s="65"/>
      <c r="N27" s="66"/>
      <c r="O27" s="70">
        <v>0</v>
      </c>
      <c r="P27" s="71"/>
      <c r="Q27" s="72"/>
      <c r="R27" s="77">
        <v>0</v>
      </c>
      <c r="S27" s="78"/>
      <c r="T27" s="79"/>
    </row>
    <row r="28" spans="1:20" ht="15" customHeight="1" x14ac:dyDescent="0.2">
      <c r="A28" s="61" t="s">
        <v>56</v>
      </c>
      <c r="B28" s="62"/>
      <c r="C28" s="62"/>
      <c r="D28" s="62"/>
      <c r="E28" s="62"/>
      <c r="F28" s="62"/>
      <c r="G28" s="62"/>
      <c r="H28" s="62"/>
      <c r="I28" s="63"/>
      <c r="J28" s="65" t="s">
        <v>57</v>
      </c>
      <c r="K28" s="66"/>
      <c r="L28" s="68"/>
      <c r="M28" s="65"/>
      <c r="N28" s="66"/>
      <c r="O28" s="70">
        <v>2054000000</v>
      </c>
      <c r="P28" s="71"/>
      <c r="Q28" s="72"/>
      <c r="R28" s="77">
        <v>549000000</v>
      </c>
      <c r="S28" s="78"/>
      <c r="T28" s="79"/>
    </row>
    <row r="29" spans="1:20" ht="15" customHeight="1" x14ac:dyDescent="0.2">
      <c r="A29" s="61" t="s">
        <v>58</v>
      </c>
      <c r="B29" s="62"/>
      <c r="C29" s="62"/>
      <c r="D29" s="62"/>
      <c r="E29" s="62"/>
      <c r="F29" s="62"/>
      <c r="G29" s="62"/>
      <c r="H29" s="62"/>
      <c r="I29" s="63"/>
      <c r="J29" s="65" t="s">
        <v>59</v>
      </c>
      <c r="K29" s="66"/>
      <c r="L29" s="68"/>
      <c r="M29" s="65"/>
      <c r="N29" s="66"/>
      <c r="O29" s="70">
        <v>0</v>
      </c>
      <c r="P29" s="71"/>
      <c r="Q29" s="72"/>
      <c r="R29" s="77">
        <v>0</v>
      </c>
      <c r="S29" s="78"/>
      <c r="T29" s="79"/>
    </row>
    <row r="30" spans="1:20" ht="15" customHeight="1" x14ac:dyDescent="0.2">
      <c r="A30" s="61" t="s">
        <v>60</v>
      </c>
      <c r="B30" s="62"/>
      <c r="C30" s="62"/>
      <c r="D30" s="62"/>
      <c r="E30" s="62"/>
      <c r="F30" s="62"/>
      <c r="G30" s="62"/>
      <c r="H30" s="62"/>
      <c r="I30" s="63"/>
      <c r="J30" s="65" t="s">
        <v>61</v>
      </c>
      <c r="K30" s="66"/>
      <c r="L30" s="68"/>
      <c r="M30" s="65"/>
      <c r="N30" s="66"/>
      <c r="O30" s="70">
        <v>0</v>
      </c>
      <c r="P30" s="71"/>
      <c r="Q30" s="72"/>
      <c r="R30" s="70">
        <v>0</v>
      </c>
      <c r="S30" s="71"/>
      <c r="T30" s="72"/>
    </row>
    <row r="31" spans="1:20" ht="15" customHeight="1" x14ac:dyDescent="0.2">
      <c r="A31" s="64" t="s">
        <v>62</v>
      </c>
      <c r="B31" s="62"/>
      <c r="C31" s="62"/>
      <c r="D31" s="62"/>
      <c r="E31" s="62"/>
      <c r="F31" s="62"/>
      <c r="G31" s="62"/>
      <c r="H31" s="62"/>
      <c r="I31" s="63"/>
      <c r="J31" s="67" t="s">
        <v>63</v>
      </c>
      <c r="K31" s="66"/>
      <c r="L31" s="69"/>
      <c r="M31" s="65"/>
      <c r="N31" s="66"/>
      <c r="O31" s="80">
        <v>2279545326</v>
      </c>
      <c r="P31" s="71"/>
      <c r="Q31" s="72"/>
      <c r="R31" s="73">
        <v>3363150370</v>
      </c>
      <c r="S31" s="71"/>
      <c r="T31" s="72"/>
    </row>
    <row r="32" spans="1:20" ht="15" customHeight="1" x14ac:dyDescent="0.2">
      <c r="A32" s="61" t="s">
        <v>64</v>
      </c>
      <c r="B32" s="62"/>
      <c r="C32" s="62"/>
      <c r="D32" s="62"/>
      <c r="E32" s="62"/>
      <c r="F32" s="62"/>
      <c r="G32" s="62"/>
      <c r="H32" s="62"/>
      <c r="I32" s="63"/>
      <c r="J32" s="65" t="s">
        <v>65</v>
      </c>
      <c r="K32" s="66"/>
      <c r="L32" s="68"/>
      <c r="M32" s="65"/>
      <c r="N32" s="66"/>
      <c r="O32" s="70">
        <v>2279545326</v>
      </c>
      <c r="P32" s="71"/>
      <c r="Q32" s="72"/>
      <c r="R32" s="70">
        <v>3363150370</v>
      </c>
      <c r="S32" s="71"/>
      <c r="T32" s="72"/>
    </row>
    <row r="33" spans="1:20" ht="15" customHeight="1" x14ac:dyDescent="0.2">
      <c r="A33" s="61" t="s">
        <v>66</v>
      </c>
      <c r="B33" s="62"/>
      <c r="C33" s="62"/>
      <c r="D33" s="62"/>
      <c r="E33" s="62"/>
      <c r="F33" s="62"/>
      <c r="G33" s="62"/>
      <c r="H33" s="62"/>
      <c r="I33" s="63"/>
      <c r="J33" s="65" t="s">
        <v>67</v>
      </c>
      <c r="K33" s="66"/>
      <c r="L33" s="68"/>
      <c r="M33" s="65"/>
      <c r="N33" s="66"/>
      <c r="O33" s="70">
        <v>0</v>
      </c>
      <c r="P33" s="71"/>
      <c r="Q33" s="72"/>
      <c r="R33" s="70">
        <v>0</v>
      </c>
      <c r="S33" s="71"/>
      <c r="T33" s="72"/>
    </row>
    <row r="34" spans="1:20" ht="15" customHeight="1" x14ac:dyDescent="0.2">
      <c r="A34" s="64" t="s">
        <v>68</v>
      </c>
      <c r="B34" s="62"/>
      <c r="C34" s="62"/>
      <c r="D34" s="62"/>
      <c r="E34" s="62"/>
      <c r="F34" s="62"/>
      <c r="G34" s="62"/>
      <c r="H34" s="62"/>
      <c r="I34" s="63"/>
      <c r="J34" s="67" t="s">
        <v>69</v>
      </c>
      <c r="K34" s="66"/>
      <c r="L34" s="69"/>
      <c r="M34" s="65"/>
      <c r="N34" s="66"/>
      <c r="O34" s="80">
        <v>0</v>
      </c>
      <c r="P34" s="71"/>
      <c r="Q34" s="72"/>
      <c r="R34" s="73">
        <v>0</v>
      </c>
      <c r="S34" s="71"/>
      <c r="T34" s="72"/>
    </row>
    <row r="35" spans="1:20" ht="15" customHeight="1" x14ac:dyDescent="0.2">
      <c r="A35" s="64" t="s">
        <v>70</v>
      </c>
      <c r="B35" s="62"/>
      <c r="C35" s="62"/>
      <c r="D35" s="62"/>
      <c r="E35" s="62"/>
      <c r="F35" s="62"/>
      <c r="G35" s="62"/>
      <c r="H35" s="62"/>
      <c r="I35" s="63"/>
      <c r="J35" s="67" t="s">
        <v>71</v>
      </c>
      <c r="K35" s="66"/>
      <c r="L35" s="69"/>
      <c r="M35" s="65"/>
      <c r="N35" s="66"/>
      <c r="O35" s="80">
        <v>0</v>
      </c>
      <c r="P35" s="71"/>
      <c r="Q35" s="72"/>
      <c r="R35" s="73">
        <v>0</v>
      </c>
      <c r="S35" s="71"/>
      <c r="T35" s="72"/>
    </row>
    <row r="36" spans="1:20" ht="15" customHeight="1" x14ac:dyDescent="0.2">
      <c r="A36" s="64" t="s">
        <v>72</v>
      </c>
      <c r="B36" s="62"/>
      <c r="C36" s="62"/>
      <c r="D36" s="62"/>
      <c r="E36" s="62"/>
      <c r="F36" s="62"/>
      <c r="G36" s="62"/>
      <c r="H36" s="62"/>
      <c r="I36" s="63"/>
      <c r="J36" s="67" t="s">
        <v>73</v>
      </c>
      <c r="K36" s="66"/>
      <c r="L36" s="69"/>
      <c r="M36" s="65"/>
      <c r="N36" s="66"/>
      <c r="O36" s="80">
        <v>0</v>
      </c>
      <c r="P36" s="71"/>
      <c r="Q36" s="72"/>
      <c r="R36" s="73">
        <v>0</v>
      </c>
      <c r="S36" s="71"/>
      <c r="T36" s="72"/>
    </row>
    <row r="37" spans="1:20" ht="15" customHeight="1" x14ac:dyDescent="0.2">
      <c r="A37" s="61" t="s">
        <v>74</v>
      </c>
      <c r="B37" s="62"/>
      <c r="C37" s="62"/>
      <c r="D37" s="62"/>
      <c r="E37" s="62"/>
      <c r="F37" s="62"/>
      <c r="G37" s="62"/>
      <c r="H37" s="62"/>
      <c r="I37" s="63"/>
      <c r="J37" s="65" t="s">
        <v>75</v>
      </c>
      <c r="K37" s="66"/>
      <c r="L37" s="68"/>
      <c r="M37" s="65"/>
      <c r="N37" s="66"/>
      <c r="O37" s="70">
        <v>0</v>
      </c>
      <c r="P37" s="71"/>
      <c r="Q37" s="72"/>
      <c r="R37" s="70">
        <v>0</v>
      </c>
      <c r="S37" s="71"/>
      <c r="T37" s="72"/>
    </row>
    <row r="38" spans="1:20" ht="15" customHeight="1" x14ac:dyDescent="0.2">
      <c r="A38" s="64" t="s">
        <v>76</v>
      </c>
      <c r="B38" s="62"/>
      <c r="C38" s="62"/>
      <c r="D38" s="62"/>
      <c r="E38" s="62"/>
      <c r="F38" s="62"/>
      <c r="G38" s="62"/>
      <c r="H38" s="62"/>
      <c r="I38" s="63"/>
      <c r="J38" s="67" t="s">
        <v>77</v>
      </c>
      <c r="K38" s="66"/>
      <c r="L38" s="69"/>
      <c r="M38" s="65"/>
      <c r="N38" s="66"/>
      <c r="O38" s="80">
        <v>0</v>
      </c>
      <c r="P38" s="71"/>
      <c r="Q38" s="72"/>
      <c r="R38" s="73">
        <f>SUM(R39:T43)</f>
        <v>0</v>
      </c>
      <c r="S38" s="71"/>
      <c r="T38" s="72"/>
    </row>
    <row r="39" spans="1:20" ht="15" customHeight="1" x14ac:dyDescent="0.2">
      <c r="A39" s="61" t="s">
        <v>78</v>
      </c>
      <c r="B39" s="62"/>
      <c r="C39" s="62"/>
      <c r="D39" s="62"/>
      <c r="E39" s="62"/>
      <c r="F39" s="62"/>
      <c r="G39" s="62"/>
      <c r="H39" s="62"/>
      <c r="I39" s="63"/>
      <c r="J39" s="65" t="s">
        <v>79</v>
      </c>
      <c r="K39" s="66"/>
      <c r="L39" s="68"/>
      <c r="M39" s="65"/>
      <c r="N39" s="66"/>
      <c r="O39" s="70">
        <v>0</v>
      </c>
      <c r="P39" s="71"/>
      <c r="Q39" s="72"/>
      <c r="R39" s="70"/>
      <c r="S39" s="71"/>
      <c r="T39" s="72"/>
    </row>
    <row r="40" spans="1:20" ht="15" customHeight="1" x14ac:dyDescent="0.2">
      <c r="A40" s="61" t="s">
        <v>80</v>
      </c>
      <c r="B40" s="62"/>
      <c r="C40" s="62"/>
      <c r="D40" s="62"/>
      <c r="E40" s="62"/>
      <c r="F40" s="62"/>
      <c r="G40" s="62"/>
      <c r="H40" s="62"/>
      <c r="I40" s="63"/>
      <c r="J40" s="65" t="s">
        <v>81</v>
      </c>
      <c r="K40" s="66"/>
      <c r="L40" s="68"/>
      <c r="M40" s="65"/>
      <c r="N40" s="66"/>
      <c r="O40" s="70">
        <v>0</v>
      </c>
      <c r="P40" s="71"/>
      <c r="Q40" s="72"/>
      <c r="R40" s="70">
        <v>0</v>
      </c>
      <c r="S40" s="71"/>
      <c r="T40" s="72"/>
    </row>
    <row r="41" spans="1:20" ht="15" customHeight="1" x14ac:dyDescent="0.2">
      <c r="A41" s="61" t="s">
        <v>82</v>
      </c>
      <c r="B41" s="62"/>
      <c r="C41" s="62"/>
      <c r="D41" s="62"/>
      <c r="E41" s="62"/>
      <c r="F41" s="62"/>
      <c r="G41" s="62"/>
      <c r="H41" s="62"/>
      <c r="I41" s="63"/>
      <c r="J41" s="65" t="s">
        <v>83</v>
      </c>
      <c r="K41" s="66"/>
      <c r="L41" s="68"/>
      <c r="M41" s="65"/>
      <c r="N41" s="66"/>
      <c r="O41" s="70">
        <v>0</v>
      </c>
      <c r="P41" s="71"/>
      <c r="Q41" s="72"/>
      <c r="R41" s="70">
        <v>0</v>
      </c>
      <c r="S41" s="71"/>
      <c r="T41" s="72"/>
    </row>
    <row r="42" spans="1:20" ht="15" customHeight="1" x14ac:dyDescent="0.2">
      <c r="A42" s="61" t="s">
        <v>84</v>
      </c>
      <c r="B42" s="62"/>
      <c r="C42" s="62"/>
      <c r="D42" s="62"/>
      <c r="E42" s="62"/>
      <c r="F42" s="62"/>
      <c r="G42" s="62"/>
      <c r="H42" s="62"/>
      <c r="I42" s="63"/>
      <c r="J42" s="65" t="s">
        <v>85</v>
      </c>
      <c r="K42" s="66"/>
      <c r="L42" s="68"/>
      <c r="M42" s="65"/>
      <c r="N42" s="66"/>
      <c r="O42" s="70">
        <v>0</v>
      </c>
      <c r="P42" s="71"/>
      <c r="Q42" s="72"/>
      <c r="R42" s="70">
        <v>0</v>
      </c>
      <c r="S42" s="71"/>
      <c r="T42" s="72"/>
    </row>
    <row r="43" spans="1:20" ht="15" customHeight="1" x14ac:dyDescent="0.2">
      <c r="A43" s="61" t="s">
        <v>86</v>
      </c>
      <c r="B43" s="62"/>
      <c r="C43" s="62"/>
      <c r="D43" s="62"/>
      <c r="E43" s="62"/>
      <c r="F43" s="62"/>
      <c r="G43" s="62"/>
      <c r="H43" s="62"/>
      <c r="I43" s="63"/>
      <c r="J43" s="65" t="s">
        <v>87</v>
      </c>
      <c r="K43" s="66"/>
      <c r="L43" s="68"/>
      <c r="M43" s="65"/>
      <c r="N43" s="66"/>
      <c r="O43" s="70">
        <v>0</v>
      </c>
      <c r="P43" s="71"/>
      <c r="Q43" s="72"/>
      <c r="R43" s="70">
        <v>0</v>
      </c>
      <c r="S43" s="71"/>
      <c r="T43" s="72"/>
    </row>
    <row r="44" spans="1:20" ht="15" customHeight="1" x14ac:dyDescent="0.2">
      <c r="A44" s="64" t="s">
        <v>88</v>
      </c>
      <c r="B44" s="62"/>
      <c r="C44" s="62"/>
      <c r="D44" s="62"/>
      <c r="E44" s="62"/>
      <c r="F44" s="62"/>
      <c r="G44" s="62"/>
      <c r="H44" s="62"/>
      <c r="I44" s="63"/>
      <c r="J44" s="67" t="s">
        <v>89</v>
      </c>
      <c r="K44" s="66"/>
      <c r="L44" s="69"/>
      <c r="M44" s="65"/>
      <c r="N44" s="66"/>
      <c r="O44" s="73">
        <f>O52+O62+O71+O74+O77+O84</f>
        <v>46454210457</v>
      </c>
      <c r="P44" s="71"/>
      <c r="Q44" s="72"/>
      <c r="R44" s="74">
        <f>R52+R62+R71+R74+R77+R84</f>
        <v>47815547909</v>
      </c>
      <c r="S44" s="75"/>
      <c r="T44" s="76"/>
    </row>
    <row r="45" spans="1:20" ht="15" customHeight="1" x14ac:dyDescent="0.2">
      <c r="A45" s="64" t="s">
        <v>90</v>
      </c>
      <c r="B45" s="62"/>
      <c r="C45" s="62"/>
      <c r="D45" s="62"/>
      <c r="E45" s="62"/>
      <c r="F45" s="62"/>
      <c r="G45" s="62"/>
      <c r="H45" s="62"/>
      <c r="I45" s="63"/>
      <c r="J45" s="67" t="s">
        <v>91</v>
      </c>
      <c r="K45" s="66"/>
      <c r="L45" s="69"/>
      <c r="M45" s="65"/>
      <c r="N45" s="66"/>
      <c r="O45" s="80"/>
      <c r="P45" s="71"/>
      <c r="Q45" s="72"/>
      <c r="R45" s="73"/>
      <c r="S45" s="71"/>
      <c r="T45" s="72"/>
    </row>
    <row r="46" spans="1:20" ht="15" customHeight="1" x14ac:dyDescent="0.2">
      <c r="A46" s="61" t="s">
        <v>92</v>
      </c>
      <c r="B46" s="62"/>
      <c r="C46" s="62"/>
      <c r="D46" s="62"/>
      <c r="E46" s="62"/>
      <c r="F46" s="62"/>
      <c r="G46" s="62"/>
      <c r="H46" s="62"/>
      <c r="I46" s="63"/>
      <c r="J46" s="65" t="s">
        <v>93</v>
      </c>
      <c r="K46" s="66"/>
      <c r="L46" s="68"/>
      <c r="M46" s="65"/>
      <c r="N46" s="66"/>
      <c r="O46" s="70">
        <v>0</v>
      </c>
      <c r="P46" s="71"/>
      <c r="Q46" s="72"/>
      <c r="R46" s="70">
        <v>0</v>
      </c>
      <c r="S46" s="71"/>
      <c r="T46" s="72"/>
    </row>
    <row r="47" spans="1:20" ht="15" customHeight="1" x14ac:dyDescent="0.2">
      <c r="A47" s="61" t="s">
        <v>94</v>
      </c>
      <c r="B47" s="62"/>
      <c r="C47" s="62"/>
      <c r="D47" s="62"/>
      <c r="E47" s="62"/>
      <c r="F47" s="62"/>
      <c r="G47" s="62"/>
      <c r="H47" s="62"/>
      <c r="I47" s="63"/>
      <c r="J47" s="65" t="s">
        <v>95</v>
      </c>
      <c r="K47" s="66"/>
      <c r="L47" s="68"/>
      <c r="M47" s="65"/>
      <c r="N47" s="66"/>
      <c r="O47" s="70">
        <v>0</v>
      </c>
      <c r="P47" s="71"/>
      <c r="Q47" s="72"/>
      <c r="R47" s="70">
        <v>0</v>
      </c>
      <c r="S47" s="71"/>
      <c r="T47" s="72"/>
    </row>
    <row r="48" spans="1:20" ht="15" customHeight="1" x14ac:dyDescent="0.2">
      <c r="A48" s="61" t="s">
        <v>96</v>
      </c>
      <c r="B48" s="62"/>
      <c r="C48" s="62"/>
      <c r="D48" s="62"/>
      <c r="E48" s="62"/>
      <c r="F48" s="62"/>
      <c r="G48" s="62"/>
      <c r="H48" s="62"/>
      <c r="I48" s="63"/>
      <c r="J48" s="65" t="s">
        <v>97</v>
      </c>
      <c r="K48" s="66"/>
      <c r="L48" s="68"/>
      <c r="M48" s="65"/>
      <c r="N48" s="66"/>
      <c r="O48" s="70">
        <v>0</v>
      </c>
      <c r="P48" s="71"/>
      <c r="Q48" s="72"/>
      <c r="R48" s="70">
        <v>0</v>
      </c>
      <c r="S48" s="71"/>
      <c r="T48" s="72"/>
    </row>
    <row r="49" spans="1:20" ht="15" customHeight="1" x14ac:dyDescent="0.2">
      <c r="A49" s="61" t="s">
        <v>98</v>
      </c>
      <c r="B49" s="62"/>
      <c r="C49" s="62"/>
      <c r="D49" s="62"/>
      <c r="E49" s="62"/>
      <c r="F49" s="62"/>
      <c r="G49" s="62"/>
      <c r="H49" s="62"/>
      <c r="I49" s="63"/>
      <c r="J49" s="65" t="s">
        <v>99</v>
      </c>
      <c r="K49" s="66"/>
      <c r="L49" s="68"/>
      <c r="M49" s="65"/>
      <c r="N49" s="66"/>
      <c r="O49" s="70">
        <v>0</v>
      </c>
      <c r="P49" s="71"/>
      <c r="Q49" s="72"/>
      <c r="R49" s="70">
        <v>0</v>
      </c>
      <c r="S49" s="71"/>
      <c r="T49" s="72"/>
    </row>
    <row r="50" spans="1:20" ht="15" customHeight="1" x14ac:dyDescent="0.2">
      <c r="A50" s="61" t="s">
        <v>100</v>
      </c>
      <c r="B50" s="62"/>
      <c r="C50" s="62"/>
      <c r="D50" s="62"/>
      <c r="E50" s="62"/>
      <c r="F50" s="62"/>
      <c r="G50" s="62"/>
      <c r="H50" s="62"/>
      <c r="I50" s="63"/>
      <c r="J50" s="65" t="s">
        <v>101</v>
      </c>
      <c r="K50" s="66"/>
      <c r="L50" s="68"/>
      <c r="M50" s="65"/>
      <c r="N50" s="66"/>
      <c r="O50" s="70"/>
      <c r="P50" s="71"/>
      <c r="Q50" s="72"/>
      <c r="R50" s="70"/>
      <c r="S50" s="71"/>
      <c r="T50" s="72"/>
    </row>
    <row r="51" spans="1:20" ht="15" customHeight="1" x14ac:dyDescent="0.2">
      <c r="A51" s="61" t="s">
        <v>102</v>
      </c>
      <c r="B51" s="62"/>
      <c r="C51" s="62"/>
      <c r="D51" s="62"/>
      <c r="E51" s="62"/>
      <c r="F51" s="62"/>
      <c r="G51" s="62"/>
      <c r="H51" s="62"/>
      <c r="I51" s="63"/>
      <c r="J51" s="65" t="s">
        <v>103</v>
      </c>
      <c r="K51" s="66"/>
      <c r="L51" s="68"/>
      <c r="M51" s="65"/>
      <c r="N51" s="66"/>
      <c r="O51" s="70">
        <v>0</v>
      </c>
      <c r="P51" s="71"/>
      <c r="Q51" s="72"/>
      <c r="R51" s="70">
        <v>0</v>
      </c>
      <c r="S51" s="71"/>
      <c r="T51" s="72"/>
    </row>
    <row r="52" spans="1:20" ht="15" customHeight="1" x14ac:dyDescent="0.2">
      <c r="A52" s="64" t="s">
        <v>104</v>
      </c>
      <c r="B52" s="62"/>
      <c r="C52" s="62"/>
      <c r="D52" s="62"/>
      <c r="E52" s="62"/>
      <c r="F52" s="62"/>
      <c r="G52" s="62"/>
      <c r="H52" s="62"/>
      <c r="I52" s="63"/>
      <c r="J52" s="67" t="s">
        <v>105</v>
      </c>
      <c r="K52" s="66"/>
      <c r="L52" s="69"/>
      <c r="M52" s="65"/>
      <c r="N52" s="66"/>
      <c r="O52" s="73">
        <f>O53+O56+O59</f>
        <v>46157751961</v>
      </c>
      <c r="P52" s="71"/>
      <c r="Q52" s="72"/>
      <c r="R52" s="73">
        <f>R53+R56+R59</f>
        <v>47449346441</v>
      </c>
      <c r="S52" s="71"/>
      <c r="T52" s="72"/>
    </row>
    <row r="53" spans="1:20" ht="15" customHeight="1" x14ac:dyDescent="0.2">
      <c r="A53" s="61" t="s">
        <v>106</v>
      </c>
      <c r="B53" s="62"/>
      <c r="C53" s="62"/>
      <c r="D53" s="62"/>
      <c r="E53" s="62"/>
      <c r="F53" s="62"/>
      <c r="G53" s="62"/>
      <c r="H53" s="62"/>
      <c r="I53" s="63"/>
      <c r="J53" s="65" t="s">
        <v>107</v>
      </c>
      <c r="K53" s="66"/>
      <c r="L53" s="68"/>
      <c r="M53" s="65"/>
      <c r="N53" s="66"/>
      <c r="O53" s="70">
        <v>45235251958</v>
      </c>
      <c r="P53" s="71"/>
      <c r="Q53" s="72"/>
      <c r="R53" s="70">
        <v>46219346438</v>
      </c>
      <c r="S53" s="71"/>
      <c r="T53" s="72"/>
    </row>
    <row r="54" spans="1:20" ht="15" customHeight="1" x14ac:dyDescent="0.2">
      <c r="A54" s="61" t="s">
        <v>108</v>
      </c>
      <c r="B54" s="62"/>
      <c r="C54" s="62"/>
      <c r="D54" s="62"/>
      <c r="E54" s="62"/>
      <c r="F54" s="62"/>
      <c r="G54" s="62"/>
      <c r="H54" s="62"/>
      <c r="I54" s="63"/>
      <c r="J54" s="65" t="s">
        <v>109</v>
      </c>
      <c r="K54" s="66"/>
      <c r="L54" s="68"/>
      <c r="M54" s="65"/>
      <c r="N54" s="66"/>
      <c r="O54" s="70">
        <v>99876977657</v>
      </c>
      <c r="P54" s="71"/>
      <c r="Q54" s="72"/>
      <c r="R54" s="70">
        <v>99555187497</v>
      </c>
      <c r="S54" s="71"/>
      <c r="T54" s="72"/>
    </row>
    <row r="55" spans="1:20" ht="15" customHeight="1" x14ac:dyDescent="0.2">
      <c r="A55" s="61" t="s">
        <v>110</v>
      </c>
      <c r="B55" s="62"/>
      <c r="C55" s="62"/>
      <c r="D55" s="62"/>
      <c r="E55" s="62"/>
      <c r="F55" s="62"/>
      <c r="G55" s="62"/>
      <c r="H55" s="62"/>
      <c r="I55" s="63"/>
      <c r="J55" s="65" t="s">
        <v>111</v>
      </c>
      <c r="K55" s="66"/>
      <c r="L55" s="68"/>
      <c r="M55" s="65"/>
      <c r="N55" s="66"/>
      <c r="O55" s="70">
        <v>-54641725699</v>
      </c>
      <c r="P55" s="71"/>
      <c r="Q55" s="72"/>
      <c r="R55" s="70">
        <v>-53335841059</v>
      </c>
      <c r="S55" s="71"/>
      <c r="T55" s="72"/>
    </row>
    <row r="56" spans="1:20" ht="15" customHeight="1" x14ac:dyDescent="0.2">
      <c r="A56" s="61" t="s">
        <v>112</v>
      </c>
      <c r="B56" s="62"/>
      <c r="C56" s="62"/>
      <c r="D56" s="62"/>
      <c r="E56" s="62"/>
      <c r="F56" s="62"/>
      <c r="G56" s="62"/>
      <c r="H56" s="62"/>
      <c r="I56" s="63"/>
      <c r="J56" s="65" t="s">
        <v>113</v>
      </c>
      <c r="K56" s="66"/>
      <c r="L56" s="68"/>
      <c r="M56" s="65"/>
      <c r="N56" s="66"/>
      <c r="O56" s="70">
        <v>0</v>
      </c>
      <c r="P56" s="71"/>
      <c r="Q56" s="72"/>
      <c r="R56" s="70">
        <v>0</v>
      </c>
      <c r="S56" s="71"/>
      <c r="T56" s="72"/>
    </row>
    <row r="57" spans="1:20" ht="15" customHeight="1" x14ac:dyDescent="0.2">
      <c r="A57" s="61" t="s">
        <v>108</v>
      </c>
      <c r="B57" s="62"/>
      <c r="C57" s="62"/>
      <c r="D57" s="62"/>
      <c r="E57" s="62"/>
      <c r="F57" s="62"/>
      <c r="G57" s="62"/>
      <c r="H57" s="62"/>
      <c r="I57" s="63"/>
      <c r="J57" s="65" t="s">
        <v>114</v>
      </c>
      <c r="K57" s="66"/>
      <c r="L57" s="68"/>
      <c r="M57" s="65"/>
      <c r="N57" s="66"/>
      <c r="O57" s="70">
        <v>0</v>
      </c>
      <c r="P57" s="71"/>
      <c r="Q57" s="72"/>
      <c r="R57" s="70">
        <v>0</v>
      </c>
      <c r="S57" s="71"/>
      <c r="T57" s="72"/>
    </row>
    <row r="58" spans="1:20" ht="15" customHeight="1" x14ac:dyDescent="0.2">
      <c r="A58" s="61" t="s">
        <v>110</v>
      </c>
      <c r="B58" s="62"/>
      <c r="C58" s="62"/>
      <c r="D58" s="62"/>
      <c r="E58" s="62"/>
      <c r="F58" s="62"/>
      <c r="G58" s="62"/>
      <c r="H58" s="62"/>
      <c r="I58" s="63"/>
      <c r="J58" s="65" t="s">
        <v>115</v>
      </c>
      <c r="K58" s="66"/>
      <c r="L58" s="68"/>
      <c r="M58" s="65"/>
      <c r="N58" s="66"/>
      <c r="O58" s="70">
        <v>0</v>
      </c>
      <c r="P58" s="71"/>
      <c r="Q58" s="72"/>
      <c r="R58" s="70">
        <v>0</v>
      </c>
      <c r="S58" s="71"/>
      <c r="T58" s="72"/>
    </row>
    <row r="59" spans="1:20" ht="15" customHeight="1" x14ac:dyDescent="0.2">
      <c r="A59" s="61" t="s">
        <v>116</v>
      </c>
      <c r="B59" s="62"/>
      <c r="C59" s="62"/>
      <c r="D59" s="62"/>
      <c r="E59" s="62"/>
      <c r="F59" s="62"/>
      <c r="G59" s="62"/>
      <c r="H59" s="62"/>
      <c r="I59" s="63"/>
      <c r="J59" s="65" t="s">
        <v>117</v>
      </c>
      <c r="K59" s="66"/>
      <c r="L59" s="68"/>
      <c r="M59" s="65"/>
      <c r="N59" s="66"/>
      <c r="O59" s="70">
        <v>922500003</v>
      </c>
      <c r="P59" s="71"/>
      <c r="Q59" s="72"/>
      <c r="R59" s="70">
        <v>1230000003</v>
      </c>
      <c r="S59" s="71"/>
      <c r="T59" s="72"/>
    </row>
    <row r="60" spans="1:20" ht="15" customHeight="1" x14ac:dyDescent="0.2">
      <c r="A60" s="61" t="s">
        <v>108</v>
      </c>
      <c r="B60" s="62"/>
      <c r="C60" s="62"/>
      <c r="D60" s="62"/>
      <c r="E60" s="62"/>
      <c r="F60" s="62"/>
      <c r="G60" s="62"/>
      <c r="H60" s="62"/>
      <c r="I60" s="63"/>
      <c r="J60" s="65" t="s">
        <v>118</v>
      </c>
      <c r="K60" s="66"/>
      <c r="L60" s="68"/>
      <c r="M60" s="65"/>
      <c r="N60" s="66"/>
      <c r="O60" s="70">
        <v>8088714943</v>
      </c>
      <c r="P60" s="71"/>
      <c r="Q60" s="72"/>
      <c r="R60" s="70">
        <v>8088714943</v>
      </c>
      <c r="S60" s="71"/>
      <c r="T60" s="72"/>
    </row>
    <row r="61" spans="1:20" ht="15" customHeight="1" x14ac:dyDescent="0.2">
      <c r="A61" s="61" t="s">
        <v>110</v>
      </c>
      <c r="B61" s="62"/>
      <c r="C61" s="62"/>
      <c r="D61" s="62"/>
      <c r="E61" s="62"/>
      <c r="F61" s="62"/>
      <c r="G61" s="62"/>
      <c r="H61" s="62"/>
      <c r="I61" s="63"/>
      <c r="J61" s="65" t="s">
        <v>119</v>
      </c>
      <c r="K61" s="66"/>
      <c r="L61" s="68"/>
      <c r="M61" s="65"/>
      <c r="N61" s="66"/>
      <c r="O61" s="70">
        <v>-7166214940</v>
      </c>
      <c r="P61" s="71"/>
      <c r="Q61" s="72"/>
      <c r="R61" s="70">
        <v>-6858714940</v>
      </c>
      <c r="S61" s="71"/>
      <c r="T61" s="72"/>
    </row>
    <row r="62" spans="1:20" ht="15" customHeight="1" x14ac:dyDescent="0.2">
      <c r="A62" s="64" t="s">
        <v>120</v>
      </c>
      <c r="B62" s="62"/>
      <c r="C62" s="62"/>
      <c r="D62" s="62"/>
      <c r="E62" s="62"/>
      <c r="F62" s="62"/>
      <c r="G62" s="62"/>
      <c r="H62" s="62"/>
      <c r="I62" s="63"/>
      <c r="J62" s="67" t="s">
        <v>121</v>
      </c>
      <c r="K62" s="66"/>
      <c r="L62" s="69"/>
      <c r="M62" s="65"/>
      <c r="N62" s="66"/>
      <c r="O62" s="80">
        <v>0</v>
      </c>
      <c r="P62" s="71"/>
      <c r="Q62" s="72"/>
      <c r="R62" s="73">
        <v>0</v>
      </c>
      <c r="S62" s="71"/>
      <c r="T62" s="72"/>
    </row>
    <row r="63" spans="1:20" ht="15" customHeight="1" x14ac:dyDescent="0.2">
      <c r="A63" s="61" t="s">
        <v>122</v>
      </c>
      <c r="B63" s="62"/>
      <c r="C63" s="62"/>
      <c r="D63" s="62"/>
      <c r="E63" s="62"/>
      <c r="F63" s="62"/>
      <c r="G63" s="62"/>
      <c r="H63" s="62"/>
      <c r="I63" s="63"/>
      <c r="J63" s="65" t="s">
        <v>123</v>
      </c>
      <c r="K63" s="66"/>
      <c r="L63" s="68"/>
      <c r="M63" s="65"/>
      <c r="N63" s="66"/>
      <c r="O63" s="70">
        <v>0</v>
      </c>
      <c r="P63" s="71"/>
      <c r="Q63" s="72"/>
      <c r="R63" s="70">
        <v>0</v>
      </c>
      <c r="S63" s="71"/>
      <c r="T63" s="72"/>
    </row>
    <row r="64" spans="1:20" ht="15" customHeight="1" x14ac:dyDescent="0.2">
      <c r="A64" s="61" t="s">
        <v>124</v>
      </c>
      <c r="B64" s="62"/>
      <c r="C64" s="62"/>
      <c r="D64" s="62"/>
      <c r="E64" s="62"/>
      <c r="F64" s="62"/>
      <c r="G64" s="62"/>
      <c r="H64" s="62"/>
      <c r="I64" s="63"/>
      <c r="J64" s="65" t="s">
        <v>125</v>
      </c>
      <c r="K64" s="66"/>
      <c r="L64" s="68"/>
      <c r="M64" s="65"/>
      <c r="N64" s="66"/>
      <c r="O64" s="70">
        <v>0</v>
      </c>
      <c r="P64" s="71"/>
      <c r="Q64" s="72"/>
      <c r="R64" s="70">
        <v>0</v>
      </c>
      <c r="S64" s="71"/>
      <c r="T64" s="72"/>
    </row>
    <row r="65" spans="1:20" ht="15" customHeight="1" x14ac:dyDescent="0.2">
      <c r="A65" s="61" t="s">
        <v>126</v>
      </c>
      <c r="B65" s="62"/>
      <c r="C65" s="62"/>
      <c r="D65" s="62"/>
      <c r="E65" s="62"/>
      <c r="F65" s="62"/>
      <c r="G65" s="62"/>
      <c r="H65" s="62"/>
      <c r="I65" s="63"/>
      <c r="J65" s="65" t="s">
        <v>127</v>
      </c>
      <c r="K65" s="66"/>
      <c r="L65" s="68"/>
      <c r="M65" s="65"/>
      <c r="N65" s="66"/>
      <c r="O65" s="70">
        <v>0</v>
      </c>
      <c r="P65" s="71"/>
      <c r="Q65" s="72"/>
      <c r="R65" s="70">
        <v>0</v>
      </c>
      <c r="S65" s="71"/>
      <c r="T65" s="72"/>
    </row>
    <row r="66" spans="1:20" ht="15" customHeight="1" x14ac:dyDescent="0.2">
      <c r="A66" s="61" t="s">
        <v>108</v>
      </c>
      <c r="B66" s="62"/>
      <c r="C66" s="62"/>
      <c r="D66" s="62"/>
      <c r="E66" s="62"/>
      <c r="F66" s="62"/>
      <c r="G66" s="62"/>
      <c r="H66" s="62"/>
      <c r="I66" s="63"/>
      <c r="J66" s="65" t="s">
        <v>128</v>
      </c>
      <c r="K66" s="66"/>
      <c r="L66" s="68"/>
      <c r="M66" s="65"/>
      <c r="N66" s="66"/>
      <c r="O66" s="70">
        <v>0</v>
      </c>
      <c r="P66" s="71"/>
      <c r="Q66" s="72"/>
      <c r="R66" s="70">
        <v>0</v>
      </c>
      <c r="S66" s="71"/>
      <c r="T66" s="72"/>
    </row>
    <row r="67" spans="1:20" ht="15" customHeight="1" x14ac:dyDescent="0.2">
      <c r="A67" s="61" t="s">
        <v>129</v>
      </c>
      <c r="B67" s="62"/>
      <c r="C67" s="62"/>
      <c r="D67" s="62"/>
      <c r="E67" s="62"/>
      <c r="F67" s="62"/>
      <c r="G67" s="62"/>
      <c r="H67" s="62"/>
      <c r="I67" s="63"/>
      <c r="J67" s="65" t="s">
        <v>130</v>
      </c>
      <c r="K67" s="66"/>
      <c r="L67" s="68"/>
      <c r="M67" s="65"/>
      <c r="N67" s="66"/>
      <c r="O67" s="70">
        <v>0</v>
      </c>
      <c r="P67" s="71"/>
      <c r="Q67" s="72"/>
      <c r="R67" s="70">
        <v>0</v>
      </c>
      <c r="S67" s="71"/>
      <c r="T67" s="72"/>
    </row>
    <row r="68" spans="1:20" ht="15" customHeight="1" x14ac:dyDescent="0.2">
      <c r="A68" s="61" t="s">
        <v>131</v>
      </c>
      <c r="B68" s="62"/>
      <c r="C68" s="62"/>
      <c r="D68" s="62"/>
      <c r="E68" s="62"/>
      <c r="F68" s="62"/>
      <c r="G68" s="62"/>
      <c r="H68" s="62"/>
      <c r="I68" s="63"/>
      <c r="J68" s="65" t="s">
        <v>132</v>
      </c>
      <c r="K68" s="66"/>
      <c r="L68" s="68"/>
      <c r="M68" s="65"/>
      <c r="N68" s="66"/>
      <c r="O68" s="70">
        <v>0</v>
      </c>
      <c r="P68" s="71"/>
      <c r="Q68" s="72"/>
      <c r="R68" s="70">
        <v>0</v>
      </c>
      <c r="S68" s="71"/>
      <c r="T68" s="72"/>
    </row>
    <row r="69" spans="1:20" ht="15" customHeight="1" x14ac:dyDescent="0.2">
      <c r="A69" s="61" t="s">
        <v>133</v>
      </c>
      <c r="B69" s="62"/>
      <c r="C69" s="62"/>
      <c r="D69" s="62"/>
      <c r="E69" s="62"/>
      <c r="F69" s="62"/>
      <c r="G69" s="62"/>
      <c r="H69" s="62"/>
      <c r="I69" s="63"/>
      <c r="J69" s="65" t="s">
        <v>134</v>
      </c>
      <c r="K69" s="66"/>
      <c r="L69" s="68"/>
      <c r="M69" s="65"/>
      <c r="N69" s="66"/>
      <c r="O69" s="70">
        <v>0</v>
      </c>
      <c r="P69" s="71"/>
      <c r="Q69" s="72"/>
      <c r="R69" s="70">
        <v>0</v>
      </c>
      <c r="S69" s="71"/>
      <c r="T69" s="72"/>
    </row>
    <row r="70" spans="1:20" ht="15" customHeight="1" x14ac:dyDescent="0.2">
      <c r="A70" s="61" t="s">
        <v>135</v>
      </c>
      <c r="B70" s="62"/>
      <c r="C70" s="62"/>
      <c r="D70" s="62"/>
      <c r="E70" s="62"/>
      <c r="F70" s="62"/>
      <c r="G70" s="62"/>
      <c r="H70" s="62"/>
      <c r="I70" s="63"/>
      <c r="J70" s="65" t="s">
        <v>136</v>
      </c>
      <c r="K70" s="66"/>
      <c r="L70" s="68"/>
      <c r="M70" s="65"/>
      <c r="N70" s="66"/>
      <c r="O70" s="70">
        <v>0</v>
      </c>
      <c r="P70" s="71"/>
      <c r="Q70" s="72"/>
      <c r="R70" s="70">
        <v>0</v>
      </c>
      <c r="S70" s="71"/>
      <c r="T70" s="72"/>
    </row>
    <row r="71" spans="1:20" ht="15" customHeight="1" x14ac:dyDescent="0.2">
      <c r="A71" s="64" t="s">
        <v>137</v>
      </c>
      <c r="B71" s="62"/>
      <c r="C71" s="62"/>
      <c r="D71" s="62"/>
      <c r="E71" s="62"/>
      <c r="F71" s="62"/>
      <c r="G71" s="62"/>
      <c r="H71" s="62"/>
      <c r="I71" s="63"/>
      <c r="J71" s="67" t="s">
        <v>138</v>
      </c>
      <c r="K71" s="66"/>
      <c r="L71" s="69"/>
      <c r="M71" s="65"/>
      <c r="N71" s="66"/>
      <c r="O71" s="80">
        <v>0</v>
      </c>
      <c r="P71" s="71"/>
      <c r="Q71" s="72"/>
      <c r="R71" s="73">
        <v>0</v>
      </c>
      <c r="S71" s="71"/>
      <c r="T71" s="72"/>
    </row>
    <row r="72" spans="1:20" ht="15" customHeight="1" x14ac:dyDescent="0.2">
      <c r="A72" s="61" t="s">
        <v>108</v>
      </c>
      <c r="B72" s="62"/>
      <c r="C72" s="62"/>
      <c r="D72" s="62"/>
      <c r="E72" s="62"/>
      <c r="F72" s="62"/>
      <c r="G72" s="62"/>
      <c r="H72" s="62"/>
      <c r="I72" s="63"/>
      <c r="J72" s="65" t="s">
        <v>139</v>
      </c>
      <c r="K72" s="66"/>
      <c r="L72" s="68"/>
      <c r="M72" s="65"/>
      <c r="N72" s="66"/>
      <c r="O72" s="70">
        <v>0</v>
      </c>
      <c r="P72" s="71"/>
      <c r="Q72" s="72"/>
      <c r="R72" s="70">
        <v>0</v>
      </c>
      <c r="S72" s="71"/>
      <c r="T72" s="72"/>
    </row>
    <row r="73" spans="1:20" ht="15" customHeight="1" x14ac:dyDescent="0.2">
      <c r="A73" s="61" t="s">
        <v>140</v>
      </c>
      <c r="B73" s="62"/>
      <c r="C73" s="62"/>
      <c r="D73" s="62"/>
      <c r="E73" s="62"/>
      <c r="F73" s="62"/>
      <c r="G73" s="62"/>
      <c r="H73" s="62"/>
      <c r="I73" s="63"/>
      <c r="J73" s="65" t="s">
        <v>141</v>
      </c>
      <c r="K73" s="66"/>
      <c r="L73" s="68"/>
      <c r="M73" s="65"/>
      <c r="N73" s="66"/>
      <c r="O73" s="70">
        <v>0</v>
      </c>
      <c r="P73" s="71"/>
      <c r="Q73" s="72"/>
      <c r="R73" s="70">
        <v>0</v>
      </c>
      <c r="S73" s="71"/>
      <c r="T73" s="72"/>
    </row>
    <row r="74" spans="1:20" ht="15" customHeight="1" x14ac:dyDescent="0.2">
      <c r="A74" s="64" t="s">
        <v>142</v>
      </c>
      <c r="B74" s="62"/>
      <c r="C74" s="62"/>
      <c r="D74" s="62"/>
      <c r="E74" s="62"/>
      <c r="F74" s="62"/>
      <c r="G74" s="62"/>
      <c r="H74" s="62"/>
      <c r="I74" s="63"/>
      <c r="J74" s="67" t="s">
        <v>143</v>
      </c>
      <c r="K74" s="66"/>
      <c r="L74" s="69"/>
      <c r="M74" s="65"/>
      <c r="N74" s="66"/>
      <c r="O74" s="80">
        <v>0</v>
      </c>
      <c r="P74" s="71"/>
      <c r="Q74" s="72"/>
      <c r="R74" s="73">
        <v>0</v>
      </c>
      <c r="S74" s="71"/>
      <c r="T74" s="72"/>
    </row>
    <row r="75" spans="1:20" ht="15" customHeight="1" x14ac:dyDescent="0.2">
      <c r="A75" s="61" t="s">
        <v>144</v>
      </c>
      <c r="B75" s="62"/>
      <c r="C75" s="62"/>
      <c r="D75" s="62"/>
      <c r="E75" s="62"/>
      <c r="F75" s="62"/>
      <c r="G75" s="62"/>
      <c r="H75" s="62"/>
      <c r="I75" s="63"/>
      <c r="J75" s="65" t="s">
        <v>145</v>
      </c>
      <c r="K75" s="66"/>
      <c r="L75" s="68"/>
      <c r="M75" s="65"/>
      <c r="N75" s="66"/>
      <c r="O75" s="70">
        <v>0</v>
      </c>
      <c r="P75" s="71"/>
      <c r="Q75" s="72"/>
      <c r="R75" s="70">
        <v>0</v>
      </c>
      <c r="S75" s="71"/>
      <c r="T75" s="72"/>
    </row>
    <row r="76" spans="1:20" ht="15" customHeight="1" x14ac:dyDescent="0.2">
      <c r="A76" s="61" t="s">
        <v>146</v>
      </c>
      <c r="B76" s="62"/>
      <c r="C76" s="62"/>
      <c r="D76" s="62"/>
      <c r="E76" s="62"/>
      <c r="F76" s="62"/>
      <c r="G76" s="62"/>
      <c r="H76" s="62"/>
      <c r="I76" s="63"/>
      <c r="J76" s="65" t="s">
        <v>147</v>
      </c>
      <c r="K76" s="66"/>
      <c r="L76" s="68"/>
      <c r="M76" s="65"/>
      <c r="N76" s="66"/>
      <c r="O76" s="70">
        <v>0</v>
      </c>
      <c r="P76" s="71"/>
      <c r="Q76" s="72"/>
      <c r="R76" s="70">
        <v>0</v>
      </c>
      <c r="S76" s="71"/>
      <c r="T76" s="72"/>
    </row>
    <row r="77" spans="1:20" ht="15" customHeight="1" x14ac:dyDescent="0.2">
      <c r="A77" s="64" t="s">
        <v>148</v>
      </c>
      <c r="B77" s="62"/>
      <c r="C77" s="62"/>
      <c r="D77" s="62"/>
      <c r="E77" s="62"/>
      <c r="F77" s="62"/>
      <c r="G77" s="62"/>
      <c r="H77" s="62"/>
      <c r="I77" s="63"/>
      <c r="J77" s="67" t="s">
        <v>149</v>
      </c>
      <c r="K77" s="66"/>
      <c r="L77" s="69"/>
      <c r="M77" s="65"/>
      <c r="N77" s="66"/>
      <c r="O77" s="80">
        <v>0</v>
      </c>
      <c r="P77" s="71"/>
      <c r="Q77" s="72"/>
      <c r="R77" s="73">
        <v>0</v>
      </c>
      <c r="S77" s="71"/>
      <c r="T77" s="72"/>
    </row>
    <row r="78" spans="1:20" ht="15" customHeight="1" x14ac:dyDescent="0.2">
      <c r="A78" s="61" t="s">
        <v>150</v>
      </c>
      <c r="B78" s="62"/>
      <c r="C78" s="62"/>
      <c r="D78" s="62"/>
      <c r="E78" s="62"/>
      <c r="F78" s="62"/>
      <c r="G78" s="62"/>
      <c r="H78" s="62"/>
      <c r="I78" s="63"/>
      <c r="J78" s="65" t="s">
        <v>151</v>
      </c>
      <c r="K78" s="66"/>
      <c r="L78" s="68"/>
      <c r="M78" s="65"/>
      <c r="N78" s="66"/>
      <c r="O78" s="70">
        <v>0</v>
      </c>
      <c r="P78" s="71"/>
      <c r="Q78" s="72"/>
      <c r="R78" s="70">
        <v>0</v>
      </c>
      <c r="S78" s="71"/>
      <c r="T78" s="72"/>
    </row>
    <row r="79" spans="1:20" ht="15" customHeight="1" x14ac:dyDescent="0.2">
      <c r="A79" s="61" t="s">
        <v>152</v>
      </c>
      <c r="B79" s="62"/>
      <c r="C79" s="62"/>
      <c r="D79" s="62"/>
      <c r="E79" s="62"/>
      <c r="F79" s="62"/>
      <c r="G79" s="62"/>
      <c r="H79" s="62"/>
      <c r="I79" s="63"/>
      <c r="J79" s="65" t="s">
        <v>153</v>
      </c>
      <c r="K79" s="66"/>
      <c r="L79" s="68"/>
      <c r="M79" s="65"/>
      <c r="N79" s="66"/>
      <c r="O79" s="70">
        <v>0</v>
      </c>
      <c r="P79" s="71"/>
      <c r="Q79" s="72"/>
      <c r="R79" s="70">
        <v>0</v>
      </c>
      <c r="S79" s="71"/>
      <c r="T79" s="72"/>
    </row>
    <row r="80" spans="1:20" ht="15" customHeight="1" x14ac:dyDescent="0.2">
      <c r="A80" s="61" t="s">
        <v>154</v>
      </c>
      <c r="B80" s="62"/>
      <c r="C80" s="62"/>
      <c r="D80" s="62"/>
      <c r="E80" s="62"/>
      <c r="F80" s="62"/>
      <c r="G80" s="62"/>
      <c r="H80" s="62"/>
      <c r="I80" s="63"/>
      <c r="J80" s="65" t="s">
        <v>155</v>
      </c>
      <c r="K80" s="66"/>
      <c r="L80" s="68"/>
      <c r="M80" s="65"/>
      <c r="N80" s="66"/>
      <c r="O80" s="70">
        <v>0</v>
      </c>
      <c r="P80" s="71"/>
      <c r="Q80" s="72"/>
      <c r="R80" s="70">
        <v>0</v>
      </c>
      <c r="S80" s="71"/>
      <c r="T80" s="72"/>
    </row>
    <row r="81" spans="1:20" ht="15" customHeight="1" x14ac:dyDescent="0.2">
      <c r="A81" s="61" t="s">
        <v>156</v>
      </c>
      <c r="B81" s="62"/>
      <c r="C81" s="62"/>
      <c r="D81" s="62"/>
      <c r="E81" s="62"/>
      <c r="F81" s="62"/>
      <c r="G81" s="62"/>
      <c r="H81" s="62"/>
      <c r="I81" s="63"/>
      <c r="J81" s="65" t="s">
        <v>157</v>
      </c>
      <c r="K81" s="66"/>
      <c r="L81" s="68"/>
      <c r="M81" s="65"/>
      <c r="N81" s="66"/>
      <c r="O81" s="70">
        <v>0</v>
      </c>
      <c r="P81" s="71"/>
      <c r="Q81" s="72"/>
      <c r="R81" s="70">
        <v>0</v>
      </c>
      <c r="S81" s="71"/>
      <c r="T81" s="72"/>
    </row>
    <row r="82" spans="1:20" ht="15" customHeight="1" x14ac:dyDescent="0.2">
      <c r="A82" s="61" t="s">
        <v>158</v>
      </c>
      <c r="B82" s="62"/>
      <c r="C82" s="62"/>
      <c r="D82" s="62"/>
      <c r="E82" s="62"/>
      <c r="F82" s="62"/>
      <c r="G82" s="62"/>
      <c r="H82" s="62"/>
      <c r="I82" s="63"/>
      <c r="J82" s="65" t="s">
        <v>159</v>
      </c>
      <c r="K82" s="66"/>
      <c r="L82" s="68"/>
      <c r="M82" s="65"/>
      <c r="N82" s="66"/>
      <c r="O82" s="70">
        <v>0</v>
      </c>
      <c r="P82" s="71"/>
      <c r="Q82" s="72"/>
      <c r="R82" s="70">
        <v>0</v>
      </c>
      <c r="S82" s="71"/>
      <c r="T82" s="72"/>
    </row>
    <row r="83" spans="1:20" ht="15" customHeight="1" x14ac:dyDescent="0.2">
      <c r="A83" s="61" t="s">
        <v>160</v>
      </c>
      <c r="B83" s="62"/>
      <c r="C83" s="62"/>
      <c r="D83" s="62"/>
      <c r="E83" s="62"/>
      <c r="F83" s="62"/>
      <c r="G83" s="62"/>
      <c r="H83" s="62"/>
      <c r="I83" s="63"/>
      <c r="J83" s="65" t="s">
        <v>161</v>
      </c>
      <c r="K83" s="66"/>
      <c r="L83" s="68"/>
      <c r="M83" s="65"/>
      <c r="N83" s="66"/>
      <c r="O83" s="70">
        <v>0</v>
      </c>
      <c r="P83" s="71"/>
      <c r="Q83" s="72"/>
      <c r="R83" s="70">
        <v>0</v>
      </c>
      <c r="S83" s="71"/>
      <c r="T83" s="72"/>
    </row>
    <row r="84" spans="1:20" ht="15" customHeight="1" x14ac:dyDescent="0.2">
      <c r="A84" s="64" t="s">
        <v>162</v>
      </c>
      <c r="B84" s="62"/>
      <c r="C84" s="62"/>
      <c r="D84" s="62"/>
      <c r="E84" s="62"/>
      <c r="F84" s="62"/>
      <c r="G84" s="62"/>
      <c r="H84" s="62"/>
      <c r="I84" s="63"/>
      <c r="J84" s="67" t="s">
        <v>163</v>
      </c>
      <c r="K84" s="66"/>
      <c r="L84" s="69"/>
      <c r="M84" s="65"/>
      <c r="N84" s="66"/>
      <c r="O84" s="73">
        <f>SUM(O85:Q88)</f>
        <v>296458496</v>
      </c>
      <c r="P84" s="71"/>
      <c r="Q84" s="72"/>
      <c r="R84" s="73">
        <f>SUM(R85:T88)</f>
        <v>366201468</v>
      </c>
      <c r="S84" s="71"/>
      <c r="T84" s="72"/>
    </row>
    <row r="85" spans="1:20" ht="15" customHeight="1" x14ac:dyDescent="0.2">
      <c r="A85" s="61" t="s">
        <v>164</v>
      </c>
      <c r="B85" s="62"/>
      <c r="C85" s="62"/>
      <c r="D85" s="62"/>
      <c r="E85" s="62"/>
      <c r="F85" s="62"/>
      <c r="G85" s="62"/>
      <c r="H85" s="62"/>
      <c r="I85" s="63"/>
      <c r="J85" s="65" t="s">
        <v>165</v>
      </c>
      <c r="K85" s="66"/>
      <c r="L85" s="68"/>
      <c r="M85" s="65"/>
      <c r="N85" s="66"/>
      <c r="O85" s="70">
        <v>296458496</v>
      </c>
      <c r="P85" s="71"/>
      <c r="Q85" s="72"/>
      <c r="R85" s="70">
        <v>366201468</v>
      </c>
      <c r="S85" s="71"/>
      <c r="T85" s="72"/>
    </row>
    <row r="86" spans="1:20" ht="15" customHeight="1" x14ac:dyDescent="0.2">
      <c r="A86" s="61" t="s">
        <v>166</v>
      </c>
      <c r="B86" s="62"/>
      <c r="C86" s="62"/>
      <c r="D86" s="62"/>
      <c r="E86" s="62"/>
      <c r="F86" s="62"/>
      <c r="G86" s="62"/>
      <c r="H86" s="62"/>
      <c r="I86" s="63"/>
      <c r="J86" s="65" t="s">
        <v>167</v>
      </c>
      <c r="K86" s="66"/>
      <c r="L86" s="68"/>
      <c r="M86" s="65"/>
      <c r="N86" s="66"/>
      <c r="O86" s="70">
        <v>0</v>
      </c>
      <c r="P86" s="71"/>
      <c r="Q86" s="72"/>
      <c r="R86" s="70">
        <v>0</v>
      </c>
      <c r="S86" s="71"/>
      <c r="T86" s="72"/>
    </row>
    <row r="87" spans="1:20" ht="15" customHeight="1" x14ac:dyDescent="0.2">
      <c r="A87" s="61" t="s">
        <v>168</v>
      </c>
      <c r="B87" s="62"/>
      <c r="C87" s="62"/>
      <c r="D87" s="62"/>
      <c r="E87" s="62"/>
      <c r="F87" s="62"/>
      <c r="G87" s="62"/>
      <c r="H87" s="62"/>
      <c r="I87" s="63"/>
      <c r="J87" s="65" t="s">
        <v>169</v>
      </c>
      <c r="K87" s="66"/>
      <c r="L87" s="68"/>
      <c r="M87" s="65"/>
      <c r="N87" s="66"/>
      <c r="O87" s="70">
        <v>0</v>
      </c>
      <c r="P87" s="71"/>
      <c r="Q87" s="72"/>
      <c r="R87" s="70">
        <v>0</v>
      </c>
      <c r="S87" s="71"/>
      <c r="T87" s="72"/>
    </row>
    <row r="88" spans="1:20" ht="15" customHeight="1" x14ac:dyDescent="0.2">
      <c r="A88" s="61" t="s">
        <v>170</v>
      </c>
      <c r="B88" s="62"/>
      <c r="C88" s="62"/>
      <c r="D88" s="62"/>
      <c r="E88" s="62"/>
      <c r="F88" s="62"/>
      <c r="G88" s="62"/>
      <c r="H88" s="62"/>
      <c r="I88" s="63"/>
      <c r="J88" s="65" t="s">
        <v>171</v>
      </c>
      <c r="K88" s="66"/>
      <c r="L88" s="68"/>
      <c r="M88" s="65"/>
      <c r="N88" s="66"/>
      <c r="O88" s="70">
        <v>0</v>
      </c>
      <c r="P88" s="71"/>
      <c r="Q88" s="72"/>
      <c r="R88" s="70">
        <v>0</v>
      </c>
      <c r="S88" s="71"/>
      <c r="T88" s="72"/>
    </row>
    <row r="89" spans="1:20" ht="15" customHeight="1" x14ac:dyDescent="0.2">
      <c r="A89" s="64" t="s">
        <v>172</v>
      </c>
      <c r="B89" s="62"/>
      <c r="C89" s="62"/>
      <c r="D89" s="62"/>
      <c r="E89" s="62"/>
      <c r="F89" s="62"/>
      <c r="G89" s="62"/>
      <c r="H89" s="62"/>
      <c r="I89" s="63"/>
      <c r="J89" s="67" t="s">
        <v>173</v>
      </c>
      <c r="K89" s="66"/>
      <c r="L89" s="69"/>
      <c r="M89" s="65"/>
      <c r="N89" s="66"/>
      <c r="O89" s="73">
        <f>O44+O12</f>
        <v>95553366507</v>
      </c>
      <c r="P89" s="71"/>
      <c r="Q89" s="72"/>
      <c r="R89" s="73">
        <f>R44+R12</f>
        <v>115345342255</v>
      </c>
      <c r="S89" s="71"/>
      <c r="T89" s="72"/>
    </row>
    <row r="90" spans="1:20" ht="15" customHeight="1" x14ac:dyDescent="0.2">
      <c r="A90" s="64" t="s">
        <v>174</v>
      </c>
      <c r="B90" s="62"/>
      <c r="C90" s="62"/>
      <c r="D90" s="62"/>
      <c r="E90" s="62"/>
      <c r="F90" s="62"/>
      <c r="G90" s="62"/>
      <c r="H90" s="62"/>
      <c r="I90" s="63"/>
      <c r="J90" s="67" t="s">
        <v>175</v>
      </c>
      <c r="K90" s="66"/>
      <c r="L90" s="69"/>
      <c r="M90" s="65"/>
      <c r="N90" s="66"/>
      <c r="O90" s="73">
        <f>O91+O107</f>
        <v>11538381418</v>
      </c>
      <c r="P90" s="71"/>
      <c r="Q90" s="72"/>
      <c r="R90" s="73">
        <f>R91+R107</f>
        <v>14433266486</v>
      </c>
      <c r="S90" s="71"/>
      <c r="T90" s="72"/>
    </row>
    <row r="91" spans="1:20" ht="15" customHeight="1" x14ac:dyDescent="0.2">
      <c r="A91" s="64" t="s">
        <v>176</v>
      </c>
      <c r="B91" s="62"/>
      <c r="C91" s="62"/>
      <c r="D91" s="62"/>
      <c r="E91" s="62"/>
      <c r="F91" s="62"/>
      <c r="G91" s="62"/>
      <c r="H91" s="62"/>
      <c r="I91" s="63"/>
      <c r="J91" s="67" t="s">
        <v>177</v>
      </c>
      <c r="K91" s="66"/>
      <c r="L91" s="69"/>
      <c r="M91" s="65"/>
      <c r="N91" s="66"/>
      <c r="O91" s="73">
        <f>SUM(O92:Q106)</f>
        <v>11538381418</v>
      </c>
      <c r="P91" s="71"/>
      <c r="Q91" s="72"/>
      <c r="R91" s="73">
        <f>SUM(R92:T106)</f>
        <v>14433266486</v>
      </c>
      <c r="S91" s="71"/>
      <c r="T91" s="72"/>
    </row>
    <row r="92" spans="1:20" ht="15" customHeight="1" x14ac:dyDescent="0.2">
      <c r="A92" s="61" t="s">
        <v>178</v>
      </c>
      <c r="B92" s="62"/>
      <c r="C92" s="62"/>
      <c r="D92" s="62"/>
      <c r="E92" s="62"/>
      <c r="F92" s="62"/>
      <c r="G92" s="62"/>
      <c r="H92" s="62"/>
      <c r="I92" s="63"/>
      <c r="J92" s="65" t="s">
        <v>179</v>
      </c>
      <c r="K92" s="66"/>
      <c r="L92" s="68"/>
      <c r="M92" s="65"/>
      <c r="N92" s="66"/>
      <c r="O92" s="70">
        <v>6661655654</v>
      </c>
      <c r="P92" s="71"/>
      <c r="Q92" s="72"/>
      <c r="R92" s="70">
        <v>5428553975</v>
      </c>
      <c r="S92" s="71"/>
      <c r="T92" s="72"/>
    </row>
    <row r="93" spans="1:20" ht="15" customHeight="1" x14ac:dyDescent="0.2">
      <c r="A93" s="61" t="s">
        <v>180</v>
      </c>
      <c r="B93" s="62"/>
      <c r="C93" s="62"/>
      <c r="D93" s="62"/>
      <c r="E93" s="62"/>
      <c r="F93" s="62"/>
      <c r="G93" s="62"/>
      <c r="H93" s="62"/>
      <c r="I93" s="63"/>
      <c r="J93" s="65" t="s">
        <v>181</v>
      </c>
      <c r="K93" s="66"/>
      <c r="L93" s="68"/>
      <c r="M93" s="65"/>
      <c r="N93" s="66"/>
      <c r="O93" s="70"/>
      <c r="P93" s="71"/>
      <c r="Q93" s="72"/>
      <c r="R93" s="70"/>
      <c r="S93" s="71"/>
      <c r="T93" s="72"/>
    </row>
    <row r="94" spans="1:20" ht="15" customHeight="1" x14ac:dyDescent="0.2">
      <c r="A94" s="61" t="s">
        <v>182</v>
      </c>
      <c r="B94" s="62"/>
      <c r="C94" s="62"/>
      <c r="D94" s="62"/>
      <c r="E94" s="62"/>
      <c r="F94" s="62"/>
      <c r="G94" s="62"/>
      <c r="H94" s="62"/>
      <c r="I94" s="63"/>
      <c r="J94" s="65" t="s">
        <v>183</v>
      </c>
      <c r="K94" s="66"/>
      <c r="L94" s="68"/>
      <c r="M94" s="65"/>
      <c r="N94" s="66"/>
      <c r="O94" s="70">
        <v>0</v>
      </c>
      <c r="P94" s="71"/>
      <c r="Q94" s="72"/>
      <c r="R94" s="70">
        <v>0</v>
      </c>
      <c r="S94" s="71"/>
      <c r="T94" s="72"/>
    </row>
    <row r="95" spans="1:20" ht="15" customHeight="1" x14ac:dyDescent="0.2">
      <c r="A95" s="61" t="s">
        <v>184</v>
      </c>
      <c r="B95" s="62"/>
      <c r="C95" s="62"/>
      <c r="D95" s="62"/>
      <c r="E95" s="62"/>
      <c r="F95" s="62"/>
      <c r="G95" s="62"/>
      <c r="H95" s="62"/>
      <c r="I95" s="63"/>
      <c r="J95" s="65" t="s">
        <v>185</v>
      </c>
      <c r="K95" s="66"/>
      <c r="L95" s="68"/>
      <c r="M95" s="65"/>
      <c r="N95" s="66"/>
      <c r="O95" s="70">
        <v>971124696</v>
      </c>
      <c r="P95" s="71"/>
      <c r="Q95" s="72"/>
      <c r="R95" s="70">
        <v>1477976523</v>
      </c>
      <c r="S95" s="71"/>
      <c r="T95" s="72"/>
    </row>
    <row r="96" spans="1:20" ht="15" customHeight="1" x14ac:dyDescent="0.2">
      <c r="A96" s="61" t="s">
        <v>186</v>
      </c>
      <c r="B96" s="62"/>
      <c r="C96" s="62"/>
      <c r="D96" s="62"/>
      <c r="E96" s="62"/>
      <c r="F96" s="62"/>
      <c r="G96" s="62"/>
      <c r="H96" s="62"/>
      <c r="I96" s="63"/>
      <c r="J96" s="65" t="s">
        <v>187</v>
      </c>
      <c r="K96" s="66"/>
      <c r="L96" s="68"/>
      <c r="M96" s="65"/>
      <c r="N96" s="66"/>
      <c r="O96" s="70">
        <v>1740729548</v>
      </c>
      <c r="P96" s="71"/>
      <c r="Q96" s="72"/>
      <c r="R96" s="70">
        <v>1163110489</v>
      </c>
      <c r="S96" s="71"/>
      <c r="T96" s="72"/>
    </row>
    <row r="97" spans="1:20" ht="15" customHeight="1" x14ac:dyDescent="0.2">
      <c r="A97" s="61" t="s">
        <v>188</v>
      </c>
      <c r="B97" s="62"/>
      <c r="C97" s="62"/>
      <c r="D97" s="62"/>
      <c r="E97" s="62"/>
      <c r="F97" s="62"/>
      <c r="G97" s="62"/>
      <c r="H97" s="62"/>
      <c r="I97" s="63"/>
      <c r="J97" s="65" t="s">
        <v>189</v>
      </c>
      <c r="K97" s="66"/>
      <c r="L97" s="68"/>
      <c r="M97" s="65"/>
      <c r="N97" s="66"/>
      <c r="O97" s="70">
        <v>0</v>
      </c>
      <c r="P97" s="71"/>
      <c r="Q97" s="72"/>
      <c r="R97" s="70">
        <v>0</v>
      </c>
      <c r="S97" s="71"/>
      <c r="T97" s="72"/>
    </row>
    <row r="98" spans="1:20" ht="15" customHeight="1" x14ac:dyDescent="0.2">
      <c r="A98" s="61" t="s">
        <v>190</v>
      </c>
      <c r="B98" s="62"/>
      <c r="C98" s="62"/>
      <c r="D98" s="62"/>
      <c r="E98" s="62"/>
      <c r="F98" s="62"/>
      <c r="G98" s="62"/>
      <c r="H98" s="62"/>
      <c r="I98" s="63"/>
      <c r="J98" s="65" t="s">
        <v>191</v>
      </c>
      <c r="K98" s="66"/>
      <c r="L98" s="68"/>
      <c r="M98" s="65"/>
      <c r="N98" s="66"/>
      <c r="O98" s="70">
        <v>0</v>
      </c>
      <c r="P98" s="71"/>
      <c r="Q98" s="72"/>
      <c r="R98" s="70">
        <v>0</v>
      </c>
      <c r="S98" s="71"/>
      <c r="T98" s="72"/>
    </row>
    <row r="99" spans="1:20" ht="15" customHeight="1" x14ac:dyDescent="0.2">
      <c r="A99" s="61" t="s">
        <v>192</v>
      </c>
      <c r="B99" s="62"/>
      <c r="C99" s="62"/>
      <c r="D99" s="62"/>
      <c r="E99" s="62"/>
      <c r="F99" s="62"/>
      <c r="G99" s="62"/>
      <c r="H99" s="62"/>
      <c r="I99" s="63"/>
      <c r="J99" s="65" t="s">
        <v>193</v>
      </c>
      <c r="K99" s="66"/>
      <c r="L99" s="68"/>
      <c r="M99" s="65"/>
      <c r="N99" s="66"/>
      <c r="O99" s="70">
        <v>0</v>
      </c>
      <c r="P99" s="71"/>
      <c r="Q99" s="72"/>
      <c r="R99" s="70">
        <v>0</v>
      </c>
      <c r="S99" s="71"/>
      <c r="T99" s="72"/>
    </row>
    <row r="100" spans="1:20" ht="15" customHeight="1" x14ac:dyDescent="0.2">
      <c r="A100" s="61" t="s">
        <v>194</v>
      </c>
      <c r="B100" s="62"/>
      <c r="C100" s="62"/>
      <c r="D100" s="62"/>
      <c r="E100" s="62"/>
      <c r="F100" s="62"/>
      <c r="G100" s="62"/>
      <c r="H100" s="62"/>
      <c r="I100" s="63"/>
      <c r="J100" s="65" t="s">
        <v>195</v>
      </c>
      <c r="K100" s="66"/>
      <c r="L100" s="68"/>
      <c r="M100" s="65"/>
      <c r="N100" s="66"/>
      <c r="O100" s="70">
        <v>0</v>
      </c>
      <c r="P100" s="71"/>
      <c r="Q100" s="72"/>
      <c r="R100" s="70">
        <v>0</v>
      </c>
      <c r="S100" s="71"/>
      <c r="T100" s="72"/>
    </row>
    <row r="101" spans="1:20" ht="15" customHeight="1" x14ac:dyDescent="0.2">
      <c r="A101" s="61" t="s">
        <v>196</v>
      </c>
      <c r="B101" s="62"/>
      <c r="C101" s="62"/>
      <c r="D101" s="62"/>
      <c r="E101" s="62"/>
      <c r="F101" s="62"/>
      <c r="G101" s="62"/>
      <c r="H101" s="62"/>
      <c r="I101" s="63"/>
      <c r="J101" s="65" t="s">
        <v>197</v>
      </c>
      <c r="K101" s="66"/>
      <c r="L101" s="68"/>
      <c r="M101" s="65"/>
      <c r="N101" s="66"/>
      <c r="O101" s="70">
        <v>157851520</v>
      </c>
      <c r="P101" s="71"/>
      <c r="Q101" s="72"/>
      <c r="R101" s="70">
        <v>4363625499</v>
      </c>
      <c r="S101" s="71"/>
      <c r="T101" s="72"/>
    </row>
    <row r="102" spans="1:20" ht="15" customHeight="1" x14ac:dyDescent="0.2">
      <c r="A102" s="61" t="s">
        <v>198</v>
      </c>
      <c r="B102" s="62"/>
      <c r="C102" s="62"/>
      <c r="D102" s="62"/>
      <c r="E102" s="62"/>
      <c r="F102" s="62"/>
      <c r="G102" s="62"/>
      <c r="H102" s="62"/>
      <c r="I102" s="63"/>
      <c r="J102" s="65" t="s">
        <v>199</v>
      </c>
      <c r="K102" s="66"/>
      <c r="L102" s="68"/>
      <c r="M102" s="65"/>
      <c r="N102" s="66"/>
      <c r="O102" s="70">
        <v>0</v>
      </c>
      <c r="P102" s="71"/>
      <c r="Q102" s="72"/>
      <c r="R102" s="70">
        <v>0</v>
      </c>
      <c r="S102" s="71"/>
      <c r="T102" s="72"/>
    </row>
    <row r="103" spans="1:20" ht="15" customHeight="1" x14ac:dyDescent="0.2">
      <c r="A103" s="61" t="s">
        <v>200</v>
      </c>
      <c r="B103" s="62"/>
      <c r="C103" s="62"/>
      <c r="D103" s="62"/>
      <c r="E103" s="62"/>
      <c r="F103" s="62"/>
      <c r="G103" s="62"/>
      <c r="H103" s="62"/>
      <c r="I103" s="63"/>
      <c r="J103" s="65" t="s">
        <v>201</v>
      </c>
      <c r="K103" s="66"/>
      <c r="L103" s="68"/>
      <c r="M103" s="65"/>
      <c r="N103" s="66"/>
      <c r="O103" s="70">
        <v>2000000000</v>
      </c>
      <c r="P103" s="71"/>
      <c r="Q103" s="72"/>
      <c r="R103" s="70">
        <v>2000000000</v>
      </c>
      <c r="S103" s="71"/>
      <c r="T103" s="72"/>
    </row>
    <row r="104" spans="1:20" ht="15" customHeight="1" x14ac:dyDescent="0.2">
      <c r="A104" s="61" t="s">
        <v>202</v>
      </c>
      <c r="B104" s="62"/>
      <c r="C104" s="62"/>
      <c r="D104" s="62"/>
      <c r="E104" s="62"/>
      <c r="F104" s="62"/>
      <c r="G104" s="62"/>
      <c r="H104" s="62"/>
      <c r="I104" s="63"/>
      <c r="J104" s="65" t="s">
        <v>203</v>
      </c>
      <c r="K104" s="66"/>
      <c r="L104" s="68"/>
      <c r="M104" s="65"/>
      <c r="N104" s="66"/>
      <c r="O104" s="70">
        <v>7020000</v>
      </c>
      <c r="P104" s="71"/>
      <c r="Q104" s="72"/>
      <c r="R104" s="70">
        <v>0</v>
      </c>
      <c r="S104" s="71"/>
      <c r="T104" s="72"/>
    </row>
    <row r="105" spans="1:20" ht="15" customHeight="1" x14ac:dyDescent="0.2">
      <c r="A105" s="61" t="s">
        <v>204</v>
      </c>
      <c r="B105" s="62"/>
      <c r="C105" s="62"/>
      <c r="D105" s="62"/>
      <c r="E105" s="62"/>
      <c r="F105" s="62"/>
      <c r="G105" s="62"/>
      <c r="H105" s="62"/>
      <c r="I105" s="63"/>
      <c r="J105" s="65" t="s">
        <v>205</v>
      </c>
      <c r="K105" s="66"/>
      <c r="L105" s="68"/>
      <c r="M105" s="65"/>
      <c r="N105" s="66"/>
      <c r="O105" s="70">
        <v>0</v>
      </c>
      <c r="P105" s="71"/>
      <c r="Q105" s="72"/>
      <c r="R105" s="70">
        <v>0</v>
      </c>
      <c r="S105" s="71"/>
      <c r="T105" s="72"/>
    </row>
    <row r="106" spans="1:20" ht="15" customHeight="1" x14ac:dyDescent="0.2">
      <c r="A106" s="61" t="s">
        <v>206</v>
      </c>
      <c r="B106" s="62"/>
      <c r="C106" s="62"/>
      <c r="D106" s="62"/>
      <c r="E106" s="62"/>
      <c r="F106" s="62"/>
      <c r="G106" s="62"/>
      <c r="H106" s="62"/>
      <c r="I106" s="63"/>
      <c r="J106" s="65" t="s">
        <v>207</v>
      </c>
      <c r="K106" s="66"/>
      <c r="L106" s="68"/>
      <c r="M106" s="65"/>
      <c r="N106" s="66"/>
      <c r="O106" s="70">
        <v>0</v>
      </c>
      <c r="P106" s="71"/>
      <c r="Q106" s="72"/>
      <c r="R106" s="70">
        <v>0</v>
      </c>
      <c r="S106" s="71"/>
      <c r="T106" s="72"/>
    </row>
    <row r="107" spans="1:20" ht="15" customHeight="1" x14ac:dyDescent="0.2">
      <c r="A107" s="64" t="s">
        <v>208</v>
      </c>
      <c r="B107" s="62"/>
      <c r="C107" s="62"/>
      <c r="D107" s="62"/>
      <c r="E107" s="62"/>
      <c r="F107" s="62"/>
      <c r="G107" s="62"/>
      <c r="H107" s="62"/>
      <c r="I107" s="63"/>
      <c r="J107" s="67" t="s">
        <v>209</v>
      </c>
      <c r="K107" s="66"/>
      <c r="L107" s="69"/>
      <c r="M107" s="65"/>
      <c r="N107" s="66"/>
      <c r="O107" s="80">
        <v>0</v>
      </c>
      <c r="P107" s="71"/>
      <c r="Q107" s="72"/>
      <c r="R107" s="73">
        <v>0</v>
      </c>
      <c r="S107" s="71"/>
      <c r="T107" s="72"/>
    </row>
    <row r="108" spans="1:20" ht="15" customHeight="1" x14ac:dyDescent="0.2">
      <c r="A108" s="61" t="s">
        <v>210</v>
      </c>
      <c r="B108" s="62"/>
      <c r="C108" s="62"/>
      <c r="D108" s="62"/>
      <c r="E108" s="62"/>
      <c r="F108" s="62"/>
      <c r="G108" s="62"/>
      <c r="H108" s="62"/>
      <c r="I108" s="63"/>
      <c r="J108" s="65" t="s">
        <v>211</v>
      </c>
      <c r="K108" s="66"/>
      <c r="L108" s="68"/>
      <c r="M108" s="65"/>
      <c r="N108" s="66"/>
      <c r="O108" s="70">
        <v>0</v>
      </c>
      <c r="P108" s="71"/>
      <c r="Q108" s="72"/>
      <c r="R108" s="70">
        <v>0</v>
      </c>
      <c r="S108" s="71"/>
      <c r="T108" s="72"/>
    </row>
    <row r="109" spans="1:20" ht="15" customHeight="1" x14ac:dyDescent="0.2">
      <c r="A109" s="61" t="s">
        <v>212</v>
      </c>
      <c r="B109" s="62"/>
      <c r="C109" s="62"/>
      <c r="D109" s="62"/>
      <c r="E109" s="62"/>
      <c r="F109" s="62"/>
      <c r="G109" s="62"/>
      <c r="H109" s="62"/>
      <c r="I109" s="63"/>
      <c r="J109" s="65" t="s">
        <v>213</v>
      </c>
      <c r="K109" s="66"/>
      <c r="L109" s="68"/>
      <c r="M109" s="65"/>
      <c r="N109" s="66"/>
      <c r="O109" s="70">
        <v>0</v>
      </c>
      <c r="P109" s="71"/>
      <c r="Q109" s="72"/>
      <c r="R109" s="70">
        <v>0</v>
      </c>
      <c r="S109" s="71"/>
      <c r="T109" s="72"/>
    </row>
    <row r="110" spans="1:20" ht="15" customHeight="1" x14ac:dyDescent="0.2">
      <c r="A110" s="61" t="s">
        <v>214</v>
      </c>
      <c r="B110" s="62"/>
      <c r="C110" s="62"/>
      <c r="D110" s="62"/>
      <c r="E110" s="62"/>
      <c r="F110" s="62"/>
      <c r="G110" s="62"/>
      <c r="H110" s="62"/>
      <c r="I110" s="63"/>
      <c r="J110" s="65" t="s">
        <v>215</v>
      </c>
      <c r="K110" s="66"/>
      <c r="L110" s="68"/>
      <c r="M110" s="65"/>
      <c r="N110" s="66"/>
      <c r="O110" s="70">
        <v>0</v>
      </c>
      <c r="P110" s="71"/>
      <c r="Q110" s="72"/>
      <c r="R110" s="70">
        <v>0</v>
      </c>
      <c r="S110" s="71"/>
      <c r="T110" s="72"/>
    </row>
    <row r="111" spans="1:20" ht="15" customHeight="1" x14ac:dyDescent="0.2">
      <c r="A111" s="61" t="s">
        <v>216</v>
      </c>
      <c r="B111" s="62"/>
      <c r="C111" s="62"/>
      <c r="D111" s="62"/>
      <c r="E111" s="62"/>
      <c r="F111" s="62"/>
      <c r="G111" s="62"/>
      <c r="H111" s="62"/>
      <c r="I111" s="63"/>
      <c r="J111" s="65" t="s">
        <v>217</v>
      </c>
      <c r="K111" s="66"/>
      <c r="L111" s="68"/>
      <c r="M111" s="65"/>
      <c r="N111" s="66"/>
      <c r="O111" s="70">
        <v>0</v>
      </c>
      <c r="P111" s="71"/>
      <c r="Q111" s="72"/>
      <c r="R111" s="70">
        <v>0</v>
      </c>
      <c r="S111" s="71"/>
      <c r="T111" s="72"/>
    </row>
    <row r="112" spans="1:20" ht="15" customHeight="1" x14ac:dyDescent="0.2">
      <c r="A112" s="61" t="s">
        <v>218</v>
      </c>
      <c r="B112" s="62"/>
      <c r="C112" s="62"/>
      <c r="D112" s="62"/>
      <c r="E112" s="62"/>
      <c r="F112" s="62"/>
      <c r="G112" s="62"/>
      <c r="H112" s="62"/>
      <c r="I112" s="63"/>
      <c r="J112" s="65" t="s">
        <v>219</v>
      </c>
      <c r="K112" s="66"/>
      <c r="L112" s="68"/>
      <c r="M112" s="65"/>
      <c r="N112" s="66"/>
      <c r="O112" s="70">
        <v>0</v>
      </c>
      <c r="P112" s="71"/>
      <c r="Q112" s="72"/>
      <c r="R112" s="70">
        <v>0</v>
      </c>
      <c r="S112" s="71"/>
      <c r="T112" s="72"/>
    </row>
    <row r="113" spans="1:20" ht="15" customHeight="1" x14ac:dyDescent="0.2">
      <c r="A113" s="61" t="s">
        <v>220</v>
      </c>
      <c r="B113" s="62"/>
      <c r="C113" s="62"/>
      <c r="D113" s="62"/>
      <c r="E113" s="62"/>
      <c r="F113" s="62"/>
      <c r="G113" s="62"/>
      <c r="H113" s="62"/>
      <c r="I113" s="63"/>
      <c r="J113" s="65" t="s">
        <v>221</v>
      </c>
      <c r="K113" s="66"/>
      <c r="L113" s="68"/>
      <c r="M113" s="65"/>
      <c r="N113" s="66"/>
      <c r="O113" s="70">
        <v>0</v>
      </c>
      <c r="P113" s="71"/>
      <c r="Q113" s="72"/>
      <c r="R113" s="70">
        <v>0</v>
      </c>
      <c r="S113" s="71"/>
      <c r="T113" s="72"/>
    </row>
    <row r="114" spans="1:20" ht="15" customHeight="1" x14ac:dyDescent="0.2">
      <c r="A114" s="61" t="s">
        <v>222</v>
      </c>
      <c r="B114" s="62"/>
      <c r="C114" s="62"/>
      <c r="D114" s="62"/>
      <c r="E114" s="62"/>
      <c r="F114" s="62"/>
      <c r="G114" s="62"/>
      <c r="H114" s="62"/>
      <c r="I114" s="63"/>
      <c r="J114" s="65" t="s">
        <v>223</v>
      </c>
      <c r="K114" s="66"/>
      <c r="L114" s="68"/>
      <c r="M114" s="65"/>
      <c r="N114" s="66"/>
      <c r="O114" s="70">
        <v>0</v>
      </c>
      <c r="P114" s="71"/>
      <c r="Q114" s="72"/>
      <c r="R114" s="70">
        <v>0</v>
      </c>
      <c r="S114" s="71"/>
      <c r="T114" s="72"/>
    </row>
    <row r="115" spans="1:20" ht="15" customHeight="1" x14ac:dyDescent="0.2">
      <c r="A115" s="61" t="s">
        <v>224</v>
      </c>
      <c r="B115" s="62"/>
      <c r="C115" s="62"/>
      <c r="D115" s="62"/>
      <c r="E115" s="62"/>
      <c r="F115" s="62"/>
      <c r="G115" s="62"/>
      <c r="H115" s="62"/>
      <c r="I115" s="63"/>
      <c r="J115" s="65" t="s">
        <v>225</v>
      </c>
      <c r="K115" s="66"/>
      <c r="L115" s="68"/>
      <c r="M115" s="65"/>
      <c r="N115" s="66"/>
      <c r="O115" s="70">
        <v>0</v>
      </c>
      <c r="P115" s="71"/>
      <c r="Q115" s="72"/>
      <c r="R115" s="70">
        <v>0</v>
      </c>
      <c r="S115" s="71"/>
      <c r="T115" s="72"/>
    </row>
    <row r="116" spans="1:20" ht="15" customHeight="1" x14ac:dyDescent="0.2">
      <c r="A116" s="61" t="s">
        <v>226</v>
      </c>
      <c r="B116" s="62"/>
      <c r="C116" s="62"/>
      <c r="D116" s="62"/>
      <c r="E116" s="62"/>
      <c r="F116" s="62"/>
      <c r="G116" s="62"/>
      <c r="H116" s="62"/>
      <c r="I116" s="63"/>
      <c r="J116" s="65" t="s">
        <v>227</v>
      </c>
      <c r="K116" s="66"/>
      <c r="L116" s="68"/>
      <c r="M116" s="65"/>
      <c r="N116" s="66"/>
      <c r="O116" s="70">
        <v>0</v>
      </c>
      <c r="P116" s="71"/>
      <c r="Q116" s="72"/>
      <c r="R116" s="70">
        <v>0</v>
      </c>
      <c r="S116" s="71"/>
      <c r="T116" s="72"/>
    </row>
    <row r="117" spans="1:20" ht="15" customHeight="1" x14ac:dyDescent="0.2">
      <c r="A117" s="61" t="s">
        <v>228</v>
      </c>
      <c r="B117" s="62"/>
      <c r="C117" s="62"/>
      <c r="D117" s="62"/>
      <c r="E117" s="62"/>
      <c r="F117" s="62"/>
      <c r="G117" s="62"/>
      <c r="H117" s="62"/>
      <c r="I117" s="63"/>
      <c r="J117" s="65" t="s">
        <v>229</v>
      </c>
      <c r="K117" s="66"/>
      <c r="L117" s="68"/>
      <c r="M117" s="65"/>
      <c r="N117" s="66"/>
      <c r="O117" s="70">
        <v>0</v>
      </c>
      <c r="P117" s="71"/>
      <c r="Q117" s="72"/>
      <c r="R117" s="70">
        <v>0</v>
      </c>
      <c r="S117" s="71"/>
      <c r="T117" s="72"/>
    </row>
    <row r="118" spans="1:20" ht="15" customHeight="1" x14ac:dyDescent="0.2">
      <c r="A118" s="61" t="s">
        <v>230</v>
      </c>
      <c r="B118" s="62"/>
      <c r="C118" s="62"/>
      <c r="D118" s="62"/>
      <c r="E118" s="62"/>
      <c r="F118" s="62"/>
      <c r="G118" s="62"/>
      <c r="H118" s="62"/>
      <c r="I118" s="63"/>
      <c r="J118" s="65" t="s">
        <v>231</v>
      </c>
      <c r="K118" s="66"/>
      <c r="L118" s="68"/>
      <c r="M118" s="65"/>
      <c r="N118" s="66"/>
      <c r="O118" s="70">
        <v>0</v>
      </c>
      <c r="P118" s="71"/>
      <c r="Q118" s="72"/>
      <c r="R118" s="70">
        <v>0</v>
      </c>
      <c r="S118" s="71"/>
      <c r="T118" s="72"/>
    </row>
    <row r="119" spans="1:20" ht="15" customHeight="1" x14ac:dyDescent="0.2">
      <c r="A119" s="61" t="s">
        <v>232</v>
      </c>
      <c r="B119" s="62"/>
      <c r="C119" s="62"/>
      <c r="D119" s="62"/>
      <c r="E119" s="62"/>
      <c r="F119" s="62"/>
      <c r="G119" s="62"/>
      <c r="H119" s="62"/>
      <c r="I119" s="63"/>
      <c r="J119" s="65" t="s">
        <v>233</v>
      </c>
      <c r="K119" s="66"/>
      <c r="L119" s="68"/>
      <c r="M119" s="65"/>
      <c r="N119" s="66"/>
      <c r="O119" s="70">
        <v>0</v>
      </c>
      <c r="P119" s="71"/>
      <c r="Q119" s="72"/>
      <c r="R119" s="70">
        <v>0</v>
      </c>
      <c r="S119" s="71"/>
      <c r="T119" s="72"/>
    </row>
    <row r="120" spans="1:20" ht="15" customHeight="1" x14ac:dyDescent="0.2">
      <c r="A120" s="61" t="s">
        <v>234</v>
      </c>
      <c r="B120" s="62"/>
      <c r="C120" s="62"/>
      <c r="D120" s="62"/>
      <c r="E120" s="62"/>
      <c r="F120" s="62"/>
      <c r="G120" s="62"/>
      <c r="H120" s="62"/>
      <c r="I120" s="63"/>
      <c r="J120" s="65" t="s">
        <v>235</v>
      </c>
      <c r="K120" s="66"/>
      <c r="L120" s="68"/>
      <c r="M120" s="65"/>
      <c r="N120" s="66"/>
      <c r="O120" s="70">
        <v>0</v>
      </c>
      <c r="P120" s="71"/>
      <c r="Q120" s="72"/>
      <c r="R120" s="70">
        <v>0</v>
      </c>
      <c r="S120" s="71"/>
      <c r="T120" s="72"/>
    </row>
    <row r="121" spans="1:20" ht="15" customHeight="1" x14ac:dyDescent="0.2">
      <c r="A121" s="61" t="s">
        <v>236</v>
      </c>
      <c r="B121" s="62"/>
      <c r="C121" s="62"/>
      <c r="D121" s="62"/>
      <c r="E121" s="62"/>
      <c r="F121" s="62"/>
      <c r="G121" s="62"/>
      <c r="H121" s="62"/>
      <c r="I121" s="63"/>
      <c r="J121" s="65" t="s">
        <v>237</v>
      </c>
      <c r="K121" s="66"/>
      <c r="L121" s="68"/>
      <c r="M121" s="65"/>
      <c r="N121" s="66"/>
      <c r="O121" s="70">
        <v>0</v>
      </c>
      <c r="P121" s="71"/>
      <c r="Q121" s="72"/>
      <c r="R121" s="70">
        <v>0</v>
      </c>
      <c r="S121" s="71"/>
      <c r="T121" s="72"/>
    </row>
    <row r="122" spans="1:20" ht="15" customHeight="1" x14ac:dyDescent="0.2">
      <c r="A122" s="64" t="s">
        <v>238</v>
      </c>
      <c r="B122" s="62"/>
      <c r="C122" s="62"/>
      <c r="D122" s="62"/>
      <c r="E122" s="62"/>
      <c r="F122" s="62"/>
      <c r="G122" s="62"/>
      <c r="H122" s="62"/>
      <c r="I122" s="63"/>
      <c r="J122" s="67" t="s">
        <v>239</v>
      </c>
      <c r="K122" s="66"/>
      <c r="L122" s="69"/>
      <c r="M122" s="65"/>
      <c r="N122" s="66"/>
      <c r="O122" s="80">
        <f>O123+O126+O127+O128+O129+O130+O131+O132+O133+O134</f>
        <v>84014985089</v>
      </c>
      <c r="P122" s="71"/>
      <c r="Q122" s="72"/>
      <c r="R122" s="73">
        <v>100912075769</v>
      </c>
      <c r="S122" s="71"/>
      <c r="T122" s="72"/>
    </row>
    <row r="123" spans="1:20" ht="15" customHeight="1" x14ac:dyDescent="0.2">
      <c r="A123" s="61" t="s">
        <v>240</v>
      </c>
      <c r="B123" s="62"/>
      <c r="C123" s="62"/>
      <c r="D123" s="62"/>
      <c r="E123" s="62"/>
      <c r="F123" s="62"/>
      <c r="G123" s="62"/>
      <c r="H123" s="62"/>
      <c r="I123" s="63"/>
      <c r="J123" s="65" t="s">
        <v>241</v>
      </c>
      <c r="K123" s="66"/>
      <c r="L123" s="68"/>
      <c r="M123" s="65"/>
      <c r="N123" s="66"/>
      <c r="O123" s="70">
        <v>60000000000</v>
      </c>
      <c r="P123" s="71"/>
      <c r="Q123" s="72"/>
      <c r="R123" s="70">
        <v>60000000000</v>
      </c>
      <c r="S123" s="71"/>
      <c r="T123" s="72"/>
    </row>
    <row r="124" spans="1:20" ht="15" customHeight="1" x14ac:dyDescent="0.2">
      <c r="A124" s="61" t="s">
        <v>242</v>
      </c>
      <c r="B124" s="62"/>
      <c r="C124" s="62"/>
      <c r="D124" s="62"/>
      <c r="E124" s="62"/>
      <c r="F124" s="62"/>
      <c r="G124" s="62"/>
      <c r="H124" s="62"/>
      <c r="I124" s="63"/>
      <c r="J124" s="65" t="s">
        <v>243</v>
      </c>
      <c r="K124" s="66"/>
      <c r="L124" s="68"/>
      <c r="M124" s="65"/>
      <c r="N124" s="66"/>
      <c r="O124" s="70">
        <v>60000000000</v>
      </c>
      <c r="P124" s="71"/>
      <c r="Q124" s="72"/>
      <c r="R124" s="70">
        <v>60000000000</v>
      </c>
      <c r="S124" s="71"/>
      <c r="T124" s="72"/>
    </row>
    <row r="125" spans="1:20" ht="15" customHeight="1" x14ac:dyDescent="0.2">
      <c r="A125" s="61" t="s">
        <v>244</v>
      </c>
      <c r="B125" s="62"/>
      <c r="C125" s="62"/>
      <c r="D125" s="62"/>
      <c r="E125" s="62"/>
      <c r="F125" s="62"/>
      <c r="G125" s="62"/>
      <c r="H125" s="62"/>
      <c r="I125" s="63"/>
      <c r="J125" s="65" t="s">
        <v>245</v>
      </c>
      <c r="K125" s="66"/>
      <c r="L125" s="68"/>
      <c r="M125" s="65"/>
      <c r="N125" s="66"/>
      <c r="O125" s="70">
        <v>0</v>
      </c>
      <c r="P125" s="71"/>
      <c r="Q125" s="72"/>
      <c r="R125" s="70">
        <v>0</v>
      </c>
      <c r="S125" s="71"/>
      <c r="T125" s="72"/>
    </row>
    <row r="126" spans="1:20" ht="15" customHeight="1" x14ac:dyDescent="0.2">
      <c r="A126" s="61" t="s">
        <v>246</v>
      </c>
      <c r="B126" s="62"/>
      <c r="C126" s="62"/>
      <c r="D126" s="62"/>
      <c r="E126" s="62"/>
      <c r="F126" s="62"/>
      <c r="G126" s="62"/>
      <c r="H126" s="62"/>
      <c r="I126" s="63"/>
      <c r="J126" s="65" t="s">
        <v>247</v>
      </c>
      <c r="K126" s="66"/>
      <c r="L126" s="68"/>
      <c r="M126" s="65"/>
      <c r="N126" s="66"/>
      <c r="O126" s="70">
        <v>0</v>
      </c>
      <c r="P126" s="71"/>
      <c r="Q126" s="72"/>
      <c r="R126" s="70">
        <v>0</v>
      </c>
      <c r="S126" s="71"/>
      <c r="T126" s="72"/>
    </row>
    <row r="127" spans="1:20" ht="15" customHeight="1" x14ac:dyDescent="0.2">
      <c r="A127" s="61" t="s">
        <v>248</v>
      </c>
      <c r="B127" s="62"/>
      <c r="C127" s="62"/>
      <c r="D127" s="62"/>
      <c r="E127" s="62"/>
      <c r="F127" s="62"/>
      <c r="G127" s="62"/>
      <c r="H127" s="62"/>
      <c r="I127" s="63"/>
      <c r="J127" s="65" t="s">
        <v>249</v>
      </c>
      <c r="K127" s="66"/>
      <c r="L127" s="68"/>
      <c r="M127" s="65"/>
      <c r="N127" s="66"/>
      <c r="O127" s="70">
        <v>0</v>
      </c>
      <c r="P127" s="71"/>
      <c r="Q127" s="72"/>
      <c r="R127" s="70">
        <v>0</v>
      </c>
      <c r="S127" s="71"/>
      <c r="T127" s="72"/>
    </row>
    <row r="128" spans="1:20" ht="15" customHeight="1" x14ac:dyDescent="0.2">
      <c r="A128" s="61" t="s">
        <v>250</v>
      </c>
      <c r="B128" s="62"/>
      <c r="C128" s="62"/>
      <c r="D128" s="62"/>
      <c r="E128" s="62"/>
      <c r="F128" s="62"/>
      <c r="G128" s="62"/>
      <c r="H128" s="62"/>
      <c r="I128" s="63"/>
      <c r="J128" s="65" t="s">
        <v>251</v>
      </c>
      <c r="K128" s="66"/>
      <c r="L128" s="68"/>
      <c r="M128" s="65"/>
      <c r="N128" s="66"/>
      <c r="O128" s="70">
        <v>0</v>
      </c>
      <c r="P128" s="71"/>
      <c r="Q128" s="72"/>
      <c r="R128" s="70">
        <v>0</v>
      </c>
      <c r="S128" s="71"/>
      <c r="T128" s="72"/>
    </row>
    <row r="129" spans="1:21" ht="15" customHeight="1" x14ac:dyDescent="0.2">
      <c r="A129" s="61" t="s">
        <v>252</v>
      </c>
      <c r="B129" s="62"/>
      <c r="C129" s="62"/>
      <c r="D129" s="62"/>
      <c r="E129" s="62"/>
      <c r="F129" s="62"/>
      <c r="G129" s="62"/>
      <c r="H129" s="62"/>
      <c r="I129" s="63"/>
      <c r="J129" s="65" t="s">
        <v>253</v>
      </c>
      <c r="K129" s="66"/>
      <c r="L129" s="68"/>
      <c r="M129" s="65"/>
      <c r="N129" s="66"/>
      <c r="O129" s="70">
        <v>0</v>
      </c>
      <c r="P129" s="71"/>
      <c r="Q129" s="72"/>
      <c r="R129" s="70">
        <v>0</v>
      </c>
      <c r="S129" s="71"/>
      <c r="T129" s="72"/>
    </row>
    <row r="130" spans="1:21" ht="15" customHeight="1" x14ac:dyDescent="0.2">
      <c r="A130" s="61" t="s">
        <v>254</v>
      </c>
      <c r="B130" s="62"/>
      <c r="C130" s="62"/>
      <c r="D130" s="62"/>
      <c r="E130" s="62"/>
      <c r="F130" s="62"/>
      <c r="G130" s="62"/>
      <c r="H130" s="62"/>
      <c r="I130" s="63"/>
      <c r="J130" s="65" t="s">
        <v>255</v>
      </c>
      <c r="K130" s="66"/>
      <c r="L130" s="68"/>
      <c r="M130" s="65"/>
      <c r="N130" s="66"/>
      <c r="O130" s="70">
        <v>0</v>
      </c>
      <c r="P130" s="71"/>
      <c r="Q130" s="72"/>
      <c r="R130" s="70">
        <v>0</v>
      </c>
      <c r="S130" s="71"/>
      <c r="T130" s="72"/>
    </row>
    <row r="131" spans="1:21" ht="15" customHeight="1" x14ac:dyDescent="0.2">
      <c r="A131" s="61" t="s">
        <v>256</v>
      </c>
      <c r="B131" s="62"/>
      <c r="C131" s="62"/>
      <c r="D131" s="62"/>
      <c r="E131" s="62"/>
      <c r="F131" s="62"/>
      <c r="G131" s="62"/>
      <c r="H131" s="62"/>
      <c r="I131" s="63"/>
      <c r="J131" s="65" t="s">
        <v>257</v>
      </c>
      <c r="K131" s="66"/>
      <c r="L131" s="68"/>
      <c r="M131" s="65"/>
      <c r="N131" s="66"/>
      <c r="O131" s="70">
        <v>0</v>
      </c>
      <c r="P131" s="71"/>
      <c r="Q131" s="72"/>
      <c r="R131" s="70">
        <v>0</v>
      </c>
      <c r="S131" s="71"/>
      <c r="T131" s="72"/>
    </row>
    <row r="132" spans="1:21" ht="15" customHeight="1" x14ac:dyDescent="0.2">
      <c r="A132" s="61" t="s">
        <v>258</v>
      </c>
      <c r="B132" s="62"/>
      <c r="C132" s="62"/>
      <c r="D132" s="62"/>
      <c r="E132" s="62"/>
      <c r="F132" s="62"/>
      <c r="G132" s="62"/>
      <c r="H132" s="62"/>
      <c r="I132" s="63"/>
      <c r="J132" s="65" t="s">
        <v>259</v>
      </c>
      <c r="K132" s="66"/>
      <c r="L132" s="68"/>
      <c r="M132" s="65"/>
      <c r="N132" s="66"/>
      <c r="O132" s="70">
        <v>0</v>
      </c>
      <c r="P132" s="71"/>
      <c r="Q132" s="72"/>
      <c r="R132" s="70">
        <v>0</v>
      </c>
      <c r="S132" s="71"/>
      <c r="T132" s="72"/>
    </row>
    <row r="133" spans="1:21" ht="15" customHeight="1" x14ac:dyDescent="0.2">
      <c r="A133" s="61" t="s">
        <v>260</v>
      </c>
      <c r="B133" s="62"/>
      <c r="C133" s="62"/>
      <c r="D133" s="62"/>
      <c r="E133" s="62"/>
      <c r="F133" s="62"/>
      <c r="G133" s="62"/>
      <c r="H133" s="62"/>
      <c r="I133" s="63"/>
      <c r="J133" s="65" t="s">
        <v>261</v>
      </c>
      <c r="K133" s="66"/>
      <c r="L133" s="68"/>
      <c r="M133" s="65"/>
      <c r="N133" s="66"/>
      <c r="O133" s="70">
        <v>0</v>
      </c>
      <c r="P133" s="71"/>
      <c r="Q133" s="72"/>
      <c r="R133" s="70">
        <v>0</v>
      </c>
      <c r="S133" s="71"/>
      <c r="T133" s="72"/>
    </row>
    <row r="134" spans="1:21" ht="15" customHeight="1" x14ac:dyDescent="0.2">
      <c r="A134" s="61" t="s">
        <v>262</v>
      </c>
      <c r="B134" s="62"/>
      <c r="C134" s="62"/>
      <c r="D134" s="62"/>
      <c r="E134" s="62"/>
      <c r="F134" s="62"/>
      <c r="G134" s="62"/>
      <c r="H134" s="62"/>
      <c r="I134" s="63"/>
      <c r="J134" s="65" t="s">
        <v>263</v>
      </c>
      <c r="K134" s="66"/>
      <c r="L134" s="68"/>
      <c r="M134" s="65"/>
      <c r="N134" s="66"/>
      <c r="O134" s="70">
        <v>24014985089</v>
      </c>
      <c r="P134" s="71"/>
      <c r="Q134" s="72"/>
      <c r="R134" s="70">
        <v>40912075769</v>
      </c>
      <c r="S134" s="71"/>
      <c r="T134" s="72"/>
    </row>
    <row r="135" spans="1:21" ht="15" customHeight="1" x14ac:dyDescent="0.2">
      <c r="A135" s="61" t="s">
        <v>264</v>
      </c>
      <c r="B135" s="62"/>
      <c r="C135" s="62"/>
      <c r="D135" s="62"/>
      <c r="E135" s="62"/>
      <c r="F135" s="62"/>
      <c r="G135" s="62"/>
      <c r="H135" s="62"/>
      <c r="I135" s="63"/>
      <c r="J135" s="65" t="s">
        <v>265</v>
      </c>
      <c r="K135" s="66"/>
      <c r="L135" s="68"/>
      <c r="M135" s="65"/>
      <c r="N135" s="66"/>
      <c r="O135" s="70">
        <v>7912075769</v>
      </c>
      <c r="P135" s="71"/>
      <c r="Q135" s="72"/>
      <c r="R135" s="70">
        <v>11407991164</v>
      </c>
      <c r="S135" s="71"/>
      <c r="T135" s="72"/>
    </row>
    <row r="136" spans="1:21" ht="15" customHeight="1" x14ac:dyDescent="0.2">
      <c r="A136" s="61" t="s">
        <v>266</v>
      </c>
      <c r="B136" s="62"/>
      <c r="C136" s="62"/>
      <c r="D136" s="62"/>
      <c r="E136" s="62"/>
      <c r="F136" s="62"/>
      <c r="G136" s="62"/>
      <c r="H136" s="62"/>
      <c r="I136" s="63"/>
      <c r="J136" s="65" t="s">
        <v>267</v>
      </c>
      <c r="K136" s="66"/>
      <c r="L136" s="68"/>
      <c r="M136" s="65"/>
      <c r="N136" s="66"/>
      <c r="O136" s="70">
        <v>16102909320</v>
      </c>
      <c r="P136" s="71"/>
      <c r="Q136" s="72"/>
      <c r="R136" s="70">
        <v>29504084605</v>
      </c>
      <c r="S136" s="71"/>
      <c r="T136" s="72"/>
    </row>
    <row r="137" spans="1:21" ht="15" customHeight="1" x14ac:dyDescent="0.2">
      <c r="A137" s="64" t="s">
        <v>268</v>
      </c>
      <c r="B137" s="62"/>
      <c r="C137" s="62"/>
      <c r="D137" s="62"/>
      <c r="E137" s="62"/>
      <c r="F137" s="62"/>
      <c r="G137" s="62"/>
      <c r="H137" s="62"/>
      <c r="I137" s="63"/>
      <c r="J137" s="67" t="s">
        <v>269</v>
      </c>
      <c r="K137" s="66"/>
      <c r="L137" s="69"/>
      <c r="M137" s="65"/>
      <c r="N137" s="66"/>
      <c r="O137" s="73">
        <f>O122+O90</f>
        <v>95553366507</v>
      </c>
      <c r="P137" s="71"/>
      <c r="Q137" s="72"/>
      <c r="R137" s="73">
        <f>R122+R90</f>
        <v>115345342255</v>
      </c>
      <c r="S137" s="71"/>
      <c r="T137" s="72"/>
      <c r="U137" s="25">
        <f>O137-O89</f>
        <v>0</v>
      </c>
    </row>
    <row r="138" spans="1:21" ht="12" hidden="1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5"/>
      <c r="K138" s="15"/>
      <c r="L138" s="15"/>
      <c r="M138" s="15"/>
      <c r="N138" s="15"/>
      <c r="O138" s="16"/>
      <c r="P138" s="16"/>
      <c r="Q138" s="16"/>
      <c r="R138" s="16"/>
      <c r="S138" s="16"/>
      <c r="T138" s="16"/>
    </row>
    <row r="139" spans="1:21" ht="15.6" customHeight="1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8"/>
      <c r="M139" s="18"/>
      <c r="N139" s="18"/>
      <c r="O139" s="18"/>
      <c r="P139" s="17"/>
      <c r="Q139" s="17"/>
      <c r="R139" s="17"/>
      <c r="S139" s="17"/>
      <c r="T139" s="17"/>
    </row>
    <row r="140" spans="1:21" s="1" customFormat="1" ht="15.6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94" t="s">
        <v>10</v>
      </c>
      <c r="N140" s="94"/>
      <c r="O140" s="94"/>
      <c r="P140" s="94"/>
      <c r="Q140" s="94"/>
      <c r="R140" s="94"/>
      <c r="S140" s="94"/>
      <c r="T140" s="94"/>
    </row>
    <row r="141" spans="1:21" s="1" customFormat="1" ht="15.6" customHeight="1" x14ac:dyDescent="0.2">
      <c r="A141" s="89" t="s">
        <v>11</v>
      </c>
      <c r="B141" s="89"/>
      <c r="C141" s="89"/>
      <c r="D141" s="89"/>
      <c r="E141" s="89"/>
      <c r="F141" s="9"/>
      <c r="G141" s="9"/>
      <c r="H141" s="89" t="s">
        <v>12</v>
      </c>
      <c r="I141" s="89"/>
      <c r="J141" s="89"/>
      <c r="K141" s="89"/>
      <c r="L141" s="89"/>
      <c r="M141" s="89"/>
      <c r="P141" s="93" t="s">
        <v>13</v>
      </c>
      <c r="Q141" s="93"/>
      <c r="R141" s="93"/>
      <c r="S141" s="93"/>
      <c r="T141" s="93"/>
    </row>
    <row r="142" spans="1:21" s="1" customFormat="1" ht="15.6" customHeight="1" x14ac:dyDescent="0.2">
      <c r="A142" s="95" t="s">
        <v>14</v>
      </c>
      <c r="B142" s="95"/>
      <c r="C142" s="95"/>
      <c r="D142" s="95"/>
      <c r="E142" s="95"/>
      <c r="F142" s="12"/>
      <c r="G142" s="12"/>
      <c r="H142" s="95" t="s">
        <v>15</v>
      </c>
      <c r="I142" s="95"/>
      <c r="J142" s="95"/>
      <c r="K142" s="95"/>
      <c r="L142" s="95"/>
      <c r="M142" s="95"/>
      <c r="P142" s="95" t="s">
        <v>16</v>
      </c>
      <c r="Q142" s="95"/>
      <c r="R142" s="95"/>
      <c r="S142" s="95"/>
      <c r="T142" s="95"/>
    </row>
    <row r="143" spans="1:21" s="2" customFormat="1" ht="56.8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8"/>
      <c r="P143" s="7"/>
      <c r="Q143" s="7"/>
      <c r="R143" s="7"/>
      <c r="S143" s="7"/>
      <c r="T143" s="7"/>
    </row>
    <row r="144" spans="1:21" s="1" customFormat="1" ht="15.6" customHeight="1" x14ac:dyDescent="0.2">
      <c r="A144" s="89"/>
      <c r="B144" s="89"/>
      <c r="C144" s="89"/>
      <c r="D144" s="89"/>
      <c r="E144" s="89"/>
      <c r="F144" s="10"/>
      <c r="G144" s="10"/>
      <c r="H144" s="89"/>
      <c r="I144" s="89"/>
      <c r="J144" s="89"/>
      <c r="K144" s="89"/>
      <c r="L144" s="89"/>
      <c r="M144" s="89"/>
      <c r="P144" s="93" t="s">
        <v>17</v>
      </c>
      <c r="Q144" s="93"/>
      <c r="R144" s="93"/>
      <c r="S144" s="93"/>
      <c r="T144" s="93"/>
    </row>
  </sheetData>
  <mergeCells count="658">
    <mergeCell ref="A144:E144"/>
    <mergeCell ref="O2:T2"/>
    <mergeCell ref="O3:T3"/>
    <mergeCell ref="O4:T4"/>
    <mergeCell ref="O5:T5"/>
    <mergeCell ref="A7:T7"/>
    <mergeCell ref="O6:T6"/>
    <mergeCell ref="P144:T144"/>
    <mergeCell ref="P141:T141"/>
    <mergeCell ref="M140:T140"/>
    <mergeCell ref="O12:Q12"/>
    <mergeCell ref="R12:T12"/>
    <mergeCell ref="H141:M141"/>
    <mergeCell ref="H142:M142"/>
    <mergeCell ref="H144:M144"/>
    <mergeCell ref="A8:T8"/>
    <mergeCell ref="O9:S9"/>
    <mergeCell ref="O11:Q11"/>
    <mergeCell ref="R11:T11"/>
    <mergeCell ref="A141:E141"/>
    <mergeCell ref="A142:E142"/>
    <mergeCell ref="P142:T142"/>
    <mergeCell ref="L12:N12"/>
    <mergeCell ref="J12:K12"/>
    <mergeCell ref="A12:I12"/>
    <mergeCell ref="A11:I11"/>
    <mergeCell ref="J11:K11"/>
    <mergeCell ref="L11:N11"/>
    <mergeCell ref="O13:Q13"/>
    <mergeCell ref="O14:Q14"/>
    <mergeCell ref="O15:Q15"/>
    <mergeCell ref="O16:Q16"/>
    <mergeCell ref="R10:T10"/>
    <mergeCell ref="O10:Q10"/>
    <mergeCell ref="L10:N10"/>
    <mergeCell ref="J10:K10"/>
    <mergeCell ref="A10:I10"/>
    <mergeCell ref="L13:N13"/>
    <mergeCell ref="L14:N14"/>
    <mergeCell ref="L15:N15"/>
    <mergeCell ref="L16:N16"/>
    <mergeCell ref="J13:K13"/>
    <mergeCell ref="J14:K14"/>
    <mergeCell ref="J15:K15"/>
    <mergeCell ref="J16:K16"/>
    <mergeCell ref="A13:I13"/>
    <mergeCell ref="A14:I14"/>
    <mergeCell ref="A15:I15"/>
    <mergeCell ref="O22:Q22"/>
    <mergeCell ref="O23:Q23"/>
    <mergeCell ref="O24:Q24"/>
    <mergeCell ref="O25:Q25"/>
    <mergeCell ref="O26:Q26"/>
    <mergeCell ref="O17:Q17"/>
    <mergeCell ref="O18:Q18"/>
    <mergeCell ref="O19:Q19"/>
    <mergeCell ref="O20:Q20"/>
    <mergeCell ref="O21:Q21"/>
    <mergeCell ref="O32:Q32"/>
    <mergeCell ref="O33:Q33"/>
    <mergeCell ref="O34:Q34"/>
    <mergeCell ref="O35:Q35"/>
    <mergeCell ref="O36:Q36"/>
    <mergeCell ref="O27:Q27"/>
    <mergeCell ref="O28:Q28"/>
    <mergeCell ref="O29:Q29"/>
    <mergeCell ref="O30:Q30"/>
    <mergeCell ref="O31:Q31"/>
    <mergeCell ref="O42:Q42"/>
    <mergeCell ref="O43:Q43"/>
    <mergeCell ref="O44:Q44"/>
    <mergeCell ref="O45:Q45"/>
    <mergeCell ref="O46:Q46"/>
    <mergeCell ref="O37:Q37"/>
    <mergeCell ref="O38:Q38"/>
    <mergeCell ref="O39:Q39"/>
    <mergeCell ref="O40:Q40"/>
    <mergeCell ref="O41:Q41"/>
    <mergeCell ref="O52:Q52"/>
    <mergeCell ref="O53:Q53"/>
    <mergeCell ref="O54:Q54"/>
    <mergeCell ref="O55:Q55"/>
    <mergeCell ref="O56:Q56"/>
    <mergeCell ref="O47:Q47"/>
    <mergeCell ref="O48:Q48"/>
    <mergeCell ref="O49:Q49"/>
    <mergeCell ref="O50:Q50"/>
    <mergeCell ref="O51:Q51"/>
    <mergeCell ref="O62:Q62"/>
    <mergeCell ref="O63:Q63"/>
    <mergeCell ref="O64:Q64"/>
    <mergeCell ref="O65:Q65"/>
    <mergeCell ref="O66:Q66"/>
    <mergeCell ref="O57:Q57"/>
    <mergeCell ref="O58:Q58"/>
    <mergeCell ref="O59:Q59"/>
    <mergeCell ref="O60:Q60"/>
    <mergeCell ref="O61:Q61"/>
    <mergeCell ref="O72:Q72"/>
    <mergeCell ref="O73:Q73"/>
    <mergeCell ref="O74:Q74"/>
    <mergeCell ref="O75:Q75"/>
    <mergeCell ref="O76:Q76"/>
    <mergeCell ref="O67:Q67"/>
    <mergeCell ref="O68:Q68"/>
    <mergeCell ref="O69:Q69"/>
    <mergeCell ref="O70:Q70"/>
    <mergeCell ref="O71:Q71"/>
    <mergeCell ref="O82:Q82"/>
    <mergeCell ref="O83:Q83"/>
    <mergeCell ref="O84:Q84"/>
    <mergeCell ref="O85:Q85"/>
    <mergeCell ref="O86:Q86"/>
    <mergeCell ref="O77:Q77"/>
    <mergeCell ref="O78:Q78"/>
    <mergeCell ref="O79:Q79"/>
    <mergeCell ref="O80:Q80"/>
    <mergeCell ref="O81:Q81"/>
    <mergeCell ref="O92:Q92"/>
    <mergeCell ref="O93:Q93"/>
    <mergeCell ref="O94:Q94"/>
    <mergeCell ref="O95:Q95"/>
    <mergeCell ref="O96:Q96"/>
    <mergeCell ref="O87:Q87"/>
    <mergeCell ref="O88:Q88"/>
    <mergeCell ref="O89:Q89"/>
    <mergeCell ref="O90:Q90"/>
    <mergeCell ref="O91:Q91"/>
    <mergeCell ref="O102:Q102"/>
    <mergeCell ref="O103:Q103"/>
    <mergeCell ref="O104:Q104"/>
    <mergeCell ref="O105:Q105"/>
    <mergeCell ref="O106:Q106"/>
    <mergeCell ref="O97:Q97"/>
    <mergeCell ref="O98:Q98"/>
    <mergeCell ref="O99:Q99"/>
    <mergeCell ref="O100:Q100"/>
    <mergeCell ref="O101:Q101"/>
    <mergeCell ref="O112:Q112"/>
    <mergeCell ref="O113:Q113"/>
    <mergeCell ref="O114:Q114"/>
    <mergeCell ref="O115:Q115"/>
    <mergeCell ref="O116:Q116"/>
    <mergeCell ref="O107:Q107"/>
    <mergeCell ref="O108:Q108"/>
    <mergeCell ref="O109:Q109"/>
    <mergeCell ref="O110:Q110"/>
    <mergeCell ref="O111:Q111"/>
    <mergeCell ref="O130:Q130"/>
    <mergeCell ref="O131:Q131"/>
    <mergeCell ref="O122:Q122"/>
    <mergeCell ref="O123:Q123"/>
    <mergeCell ref="O124:Q124"/>
    <mergeCell ref="O125:Q125"/>
    <mergeCell ref="O126:Q126"/>
    <mergeCell ref="O117:Q117"/>
    <mergeCell ref="O118:Q118"/>
    <mergeCell ref="O119:Q119"/>
    <mergeCell ref="O120:Q120"/>
    <mergeCell ref="O121:Q121"/>
    <mergeCell ref="O137:Q137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R25:T25"/>
    <mergeCell ref="R26:T26"/>
    <mergeCell ref="R27:T27"/>
    <mergeCell ref="O132:Q132"/>
    <mergeCell ref="O133:Q133"/>
    <mergeCell ref="O134:Q134"/>
    <mergeCell ref="O135:Q135"/>
    <mergeCell ref="O136:Q136"/>
    <mergeCell ref="O127:Q127"/>
    <mergeCell ref="O128:Q128"/>
    <mergeCell ref="O129:Q129"/>
    <mergeCell ref="R33:T33"/>
    <mergeCell ref="R34:T34"/>
    <mergeCell ref="R35:T35"/>
    <mergeCell ref="R36:T36"/>
    <mergeCell ref="R37:T37"/>
    <mergeCell ref="R28:T28"/>
    <mergeCell ref="R29:T29"/>
    <mergeCell ref="R30:T30"/>
    <mergeCell ref="R31:T31"/>
    <mergeCell ref="R32:T32"/>
    <mergeCell ref="R43:T43"/>
    <mergeCell ref="R44:T44"/>
    <mergeCell ref="R45:T45"/>
    <mergeCell ref="R46:T46"/>
    <mergeCell ref="R47:T47"/>
    <mergeCell ref="R38:T38"/>
    <mergeCell ref="R39:T39"/>
    <mergeCell ref="R40:T40"/>
    <mergeCell ref="R41:T41"/>
    <mergeCell ref="R42:T42"/>
    <mergeCell ref="R53:T53"/>
    <mergeCell ref="R54:T54"/>
    <mergeCell ref="R55:T55"/>
    <mergeCell ref="R56:T56"/>
    <mergeCell ref="R57:T57"/>
    <mergeCell ref="R48:T48"/>
    <mergeCell ref="R49:T49"/>
    <mergeCell ref="R50:T50"/>
    <mergeCell ref="R51:T51"/>
    <mergeCell ref="R52:T52"/>
    <mergeCell ref="R63:T63"/>
    <mergeCell ref="R64:T64"/>
    <mergeCell ref="R65:T65"/>
    <mergeCell ref="R66:T66"/>
    <mergeCell ref="R67:T67"/>
    <mergeCell ref="R58:T58"/>
    <mergeCell ref="R59:T59"/>
    <mergeCell ref="R60:T60"/>
    <mergeCell ref="R61:T61"/>
    <mergeCell ref="R62:T62"/>
    <mergeCell ref="R73:T73"/>
    <mergeCell ref="R74:T74"/>
    <mergeCell ref="R75:T75"/>
    <mergeCell ref="R76:T76"/>
    <mergeCell ref="R77:T77"/>
    <mergeCell ref="R68:T68"/>
    <mergeCell ref="R69:T69"/>
    <mergeCell ref="R70:T70"/>
    <mergeCell ref="R71:T71"/>
    <mergeCell ref="R72:T72"/>
    <mergeCell ref="R83:T83"/>
    <mergeCell ref="R84:T84"/>
    <mergeCell ref="R85:T85"/>
    <mergeCell ref="R86:T86"/>
    <mergeCell ref="R87:T87"/>
    <mergeCell ref="R78:T78"/>
    <mergeCell ref="R79:T79"/>
    <mergeCell ref="R80:T80"/>
    <mergeCell ref="R81:T81"/>
    <mergeCell ref="R82:T82"/>
    <mergeCell ref="R93:T93"/>
    <mergeCell ref="R94:T94"/>
    <mergeCell ref="R95:T95"/>
    <mergeCell ref="R96:T96"/>
    <mergeCell ref="R97:T97"/>
    <mergeCell ref="R88:T88"/>
    <mergeCell ref="R89:T89"/>
    <mergeCell ref="R90:T90"/>
    <mergeCell ref="R91:T91"/>
    <mergeCell ref="R92:T92"/>
    <mergeCell ref="R103:T103"/>
    <mergeCell ref="R104:T104"/>
    <mergeCell ref="R105:T105"/>
    <mergeCell ref="R106:T106"/>
    <mergeCell ref="R107:T107"/>
    <mergeCell ref="R98:T98"/>
    <mergeCell ref="R99:T99"/>
    <mergeCell ref="R100:T100"/>
    <mergeCell ref="R101:T101"/>
    <mergeCell ref="R102:T102"/>
    <mergeCell ref="R137:T137"/>
    <mergeCell ref="R128:T128"/>
    <mergeCell ref="R129:T129"/>
    <mergeCell ref="R130:T130"/>
    <mergeCell ref="R131:T131"/>
    <mergeCell ref="R132:T132"/>
    <mergeCell ref="R123:T123"/>
    <mergeCell ref="R124:T124"/>
    <mergeCell ref="R125:T125"/>
    <mergeCell ref="R126:T126"/>
    <mergeCell ref="R127:T127"/>
    <mergeCell ref="L17:N17"/>
    <mergeCell ref="R133:T133"/>
    <mergeCell ref="R134:T134"/>
    <mergeCell ref="R135:T135"/>
    <mergeCell ref="R136:T136"/>
    <mergeCell ref="R118:T118"/>
    <mergeCell ref="R119:T119"/>
    <mergeCell ref="R120:T120"/>
    <mergeCell ref="R121:T121"/>
    <mergeCell ref="R122:T122"/>
    <mergeCell ref="R113:T113"/>
    <mergeCell ref="R114:T114"/>
    <mergeCell ref="R115:T115"/>
    <mergeCell ref="R116:T116"/>
    <mergeCell ref="R117:T117"/>
    <mergeCell ref="R108:T108"/>
    <mergeCell ref="R109:T109"/>
    <mergeCell ref="R110:T110"/>
    <mergeCell ref="R111:T111"/>
    <mergeCell ref="R112:T112"/>
    <mergeCell ref="L23:N23"/>
    <mergeCell ref="L24:N24"/>
    <mergeCell ref="L25:N25"/>
    <mergeCell ref="L26:N26"/>
    <mergeCell ref="L27:N27"/>
    <mergeCell ref="L18:N18"/>
    <mergeCell ref="L19:N19"/>
    <mergeCell ref="L20:N20"/>
    <mergeCell ref="L21:N21"/>
    <mergeCell ref="L22:N22"/>
    <mergeCell ref="L33:N33"/>
    <mergeCell ref="L34:N34"/>
    <mergeCell ref="L35:N35"/>
    <mergeCell ref="L36:N36"/>
    <mergeCell ref="L37:N37"/>
    <mergeCell ref="L28:N28"/>
    <mergeCell ref="L29:N29"/>
    <mergeCell ref="L30:N30"/>
    <mergeCell ref="L31:N31"/>
    <mergeCell ref="L32:N32"/>
    <mergeCell ref="L43:N43"/>
    <mergeCell ref="L44:N44"/>
    <mergeCell ref="L45:N45"/>
    <mergeCell ref="L46:N46"/>
    <mergeCell ref="L47:N47"/>
    <mergeCell ref="L38:N38"/>
    <mergeCell ref="L39:N39"/>
    <mergeCell ref="L40:N40"/>
    <mergeCell ref="L41:N41"/>
    <mergeCell ref="L42:N42"/>
    <mergeCell ref="L53:N53"/>
    <mergeCell ref="L54:N54"/>
    <mergeCell ref="L55:N55"/>
    <mergeCell ref="L56:N56"/>
    <mergeCell ref="L57:N57"/>
    <mergeCell ref="L48:N48"/>
    <mergeCell ref="L49:N49"/>
    <mergeCell ref="L50:N50"/>
    <mergeCell ref="L51:N51"/>
    <mergeCell ref="L52:N52"/>
    <mergeCell ref="L63:N63"/>
    <mergeCell ref="L64:N64"/>
    <mergeCell ref="L65:N65"/>
    <mergeCell ref="L66:N66"/>
    <mergeCell ref="L67:N67"/>
    <mergeCell ref="L58:N58"/>
    <mergeCell ref="L59:N59"/>
    <mergeCell ref="L60:N60"/>
    <mergeCell ref="L61:N61"/>
    <mergeCell ref="L62:N62"/>
    <mergeCell ref="L73:N73"/>
    <mergeCell ref="L74:N74"/>
    <mergeCell ref="L75:N75"/>
    <mergeCell ref="L76:N76"/>
    <mergeCell ref="L77:N77"/>
    <mergeCell ref="L68:N68"/>
    <mergeCell ref="L69:N69"/>
    <mergeCell ref="L70:N70"/>
    <mergeCell ref="L71:N71"/>
    <mergeCell ref="L72:N72"/>
    <mergeCell ref="L83:N83"/>
    <mergeCell ref="L84:N84"/>
    <mergeCell ref="L85:N85"/>
    <mergeCell ref="L86:N86"/>
    <mergeCell ref="L87:N87"/>
    <mergeCell ref="L78:N78"/>
    <mergeCell ref="L79:N79"/>
    <mergeCell ref="L80:N80"/>
    <mergeCell ref="L81:N81"/>
    <mergeCell ref="L82:N82"/>
    <mergeCell ref="L93:N93"/>
    <mergeCell ref="L94:N94"/>
    <mergeCell ref="L95:N95"/>
    <mergeCell ref="L96:N96"/>
    <mergeCell ref="L97:N97"/>
    <mergeCell ref="L88:N88"/>
    <mergeCell ref="L89:N89"/>
    <mergeCell ref="L90:N90"/>
    <mergeCell ref="L91:N91"/>
    <mergeCell ref="L92:N92"/>
    <mergeCell ref="L103:N103"/>
    <mergeCell ref="L104:N104"/>
    <mergeCell ref="L105:N105"/>
    <mergeCell ref="L106:N106"/>
    <mergeCell ref="L107:N107"/>
    <mergeCell ref="L98:N98"/>
    <mergeCell ref="L99:N99"/>
    <mergeCell ref="L100:N100"/>
    <mergeCell ref="L101:N101"/>
    <mergeCell ref="L102:N102"/>
    <mergeCell ref="L137:N137"/>
    <mergeCell ref="L128:N128"/>
    <mergeCell ref="L129:N129"/>
    <mergeCell ref="L130:N130"/>
    <mergeCell ref="L131:N131"/>
    <mergeCell ref="L132:N132"/>
    <mergeCell ref="L123:N123"/>
    <mergeCell ref="L124:N124"/>
    <mergeCell ref="L125:N125"/>
    <mergeCell ref="L126:N126"/>
    <mergeCell ref="L127:N127"/>
    <mergeCell ref="J17:K17"/>
    <mergeCell ref="L133:N133"/>
    <mergeCell ref="L134:N134"/>
    <mergeCell ref="L135:N135"/>
    <mergeCell ref="L136:N136"/>
    <mergeCell ref="L118:N118"/>
    <mergeCell ref="L119:N119"/>
    <mergeCell ref="L120:N120"/>
    <mergeCell ref="L121:N121"/>
    <mergeCell ref="L122:N122"/>
    <mergeCell ref="L113:N113"/>
    <mergeCell ref="L114:N114"/>
    <mergeCell ref="L115:N115"/>
    <mergeCell ref="L116:N116"/>
    <mergeCell ref="L117:N117"/>
    <mergeCell ref="L108:N108"/>
    <mergeCell ref="L109:N109"/>
    <mergeCell ref="L110:N110"/>
    <mergeCell ref="L111:N111"/>
    <mergeCell ref="L112:N112"/>
    <mergeCell ref="J23:K23"/>
    <mergeCell ref="J24:K24"/>
    <mergeCell ref="J25:K25"/>
    <mergeCell ref="J26:K26"/>
    <mergeCell ref="J27:K27"/>
    <mergeCell ref="J18:K18"/>
    <mergeCell ref="J19:K19"/>
    <mergeCell ref="J20:K20"/>
    <mergeCell ref="J21:K21"/>
    <mergeCell ref="J22:K22"/>
    <mergeCell ref="J33:K33"/>
    <mergeCell ref="J34:K34"/>
    <mergeCell ref="J35:K35"/>
    <mergeCell ref="J36:K36"/>
    <mergeCell ref="J37:K37"/>
    <mergeCell ref="J28:K28"/>
    <mergeCell ref="J29:K29"/>
    <mergeCell ref="J30:K30"/>
    <mergeCell ref="J31:K31"/>
    <mergeCell ref="J32:K32"/>
    <mergeCell ref="J43:K43"/>
    <mergeCell ref="J44:K44"/>
    <mergeCell ref="J45:K45"/>
    <mergeCell ref="J46:K46"/>
    <mergeCell ref="J47:K47"/>
    <mergeCell ref="J38:K38"/>
    <mergeCell ref="J39:K39"/>
    <mergeCell ref="J40:K40"/>
    <mergeCell ref="J41:K41"/>
    <mergeCell ref="J42:K42"/>
    <mergeCell ref="J53:K53"/>
    <mergeCell ref="J54:K54"/>
    <mergeCell ref="J55:K55"/>
    <mergeCell ref="J56:K56"/>
    <mergeCell ref="J57:K57"/>
    <mergeCell ref="J48:K48"/>
    <mergeCell ref="J49:K49"/>
    <mergeCell ref="J50:K50"/>
    <mergeCell ref="J51:K51"/>
    <mergeCell ref="J52:K52"/>
    <mergeCell ref="J63:K63"/>
    <mergeCell ref="J64:K64"/>
    <mergeCell ref="J65:K65"/>
    <mergeCell ref="J66:K66"/>
    <mergeCell ref="J67:K67"/>
    <mergeCell ref="J58:K58"/>
    <mergeCell ref="J59:K59"/>
    <mergeCell ref="J60:K60"/>
    <mergeCell ref="J61:K61"/>
    <mergeCell ref="J62:K62"/>
    <mergeCell ref="J73:K73"/>
    <mergeCell ref="J74:K74"/>
    <mergeCell ref="J75:K75"/>
    <mergeCell ref="J76:K76"/>
    <mergeCell ref="J77:K77"/>
    <mergeCell ref="J68:K68"/>
    <mergeCell ref="J69:K69"/>
    <mergeCell ref="J70:K70"/>
    <mergeCell ref="J71:K71"/>
    <mergeCell ref="J72:K72"/>
    <mergeCell ref="J83:K83"/>
    <mergeCell ref="J84:K84"/>
    <mergeCell ref="J85:K85"/>
    <mergeCell ref="J86:K86"/>
    <mergeCell ref="J87:K87"/>
    <mergeCell ref="J78:K78"/>
    <mergeCell ref="J79:K79"/>
    <mergeCell ref="J80:K80"/>
    <mergeCell ref="J81:K81"/>
    <mergeCell ref="J82:K82"/>
    <mergeCell ref="J93:K93"/>
    <mergeCell ref="J94:K94"/>
    <mergeCell ref="J95:K95"/>
    <mergeCell ref="J96:K96"/>
    <mergeCell ref="J97:K97"/>
    <mergeCell ref="J88:K88"/>
    <mergeCell ref="J89:K89"/>
    <mergeCell ref="J90:K90"/>
    <mergeCell ref="J91:K91"/>
    <mergeCell ref="J92:K92"/>
    <mergeCell ref="J103:K103"/>
    <mergeCell ref="J104:K104"/>
    <mergeCell ref="J105:K105"/>
    <mergeCell ref="J106:K106"/>
    <mergeCell ref="J107:K107"/>
    <mergeCell ref="J98:K98"/>
    <mergeCell ref="J99:K99"/>
    <mergeCell ref="J100:K100"/>
    <mergeCell ref="J101:K101"/>
    <mergeCell ref="J102:K102"/>
    <mergeCell ref="J137:K137"/>
    <mergeCell ref="J128:K128"/>
    <mergeCell ref="J129:K129"/>
    <mergeCell ref="J130:K130"/>
    <mergeCell ref="J131:K131"/>
    <mergeCell ref="J132:K132"/>
    <mergeCell ref="J123:K123"/>
    <mergeCell ref="J124:K124"/>
    <mergeCell ref="J125:K125"/>
    <mergeCell ref="J126:K126"/>
    <mergeCell ref="J127:K127"/>
    <mergeCell ref="A16:I16"/>
    <mergeCell ref="A17:I17"/>
    <mergeCell ref="J133:K133"/>
    <mergeCell ref="J134:K134"/>
    <mergeCell ref="J135:K135"/>
    <mergeCell ref="J136:K136"/>
    <mergeCell ref="J118:K118"/>
    <mergeCell ref="J119:K119"/>
    <mergeCell ref="J120:K120"/>
    <mergeCell ref="J121:K121"/>
    <mergeCell ref="J122:K122"/>
    <mergeCell ref="J113:K113"/>
    <mergeCell ref="J114:K114"/>
    <mergeCell ref="J115:K115"/>
    <mergeCell ref="J116:K116"/>
    <mergeCell ref="J117:K117"/>
    <mergeCell ref="J108:K108"/>
    <mergeCell ref="J109:K109"/>
    <mergeCell ref="J110:K110"/>
    <mergeCell ref="J111:K111"/>
    <mergeCell ref="J112:K112"/>
    <mergeCell ref="A23:I23"/>
    <mergeCell ref="A24:I24"/>
    <mergeCell ref="A25:I25"/>
    <mergeCell ref="A26:I26"/>
    <mergeCell ref="A27:I27"/>
    <mergeCell ref="A18:I18"/>
    <mergeCell ref="A19:I19"/>
    <mergeCell ref="A20:I20"/>
    <mergeCell ref="A21:I21"/>
    <mergeCell ref="A22:I22"/>
    <mergeCell ref="A33:I33"/>
    <mergeCell ref="A34:I34"/>
    <mergeCell ref="A35:I35"/>
    <mergeCell ref="A36:I36"/>
    <mergeCell ref="A37:I37"/>
    <mergeCell ref="A28:I28"/>
    <mergeCell ref="A29:I29"/>
    <mergeCell ref="A30:I30"/>
    <mergeCell ref="A31:I31"/>
    <mergeCell ref="A32:I32"/>
    <mergeCell ref="A43:I43"/>
    <mergeCell ref="A44:I44"/>
    <mergeCell ref="A45:I45"/>
    <mergeCell ref="A46:I46"/>
    <mergeCell ref="A47:I47"/>
    <mergeCell ref="A38:I38"/>
    <mergeCell ref="A39:I39"/>
    <mergeCell ref="A40:I40"/>
    <mergeCell ref="A41:I41"/>
    <mergeCell ref="A42:I42"/>
    <mergeCell ref="A53:I53"/>
    <mergeCell ref="A54:I54"/>
    <mergeCell ref="A55:I55"/>
    <mergeCell ref="A56:I56"/>
    <mergeCell ref="A57:I57"/>
    <mergeCell ref="A48:I48"/>
    <mergeCell ref="A49:I49"/>
    <mergeCell ref="A50:I50"/>
    <mergeCell ref="A51:I51"/>
    <mergeCell ref="A52:I52"/>
    <mergeCell ref="A63:I63"/>
    <mergeCell ref="A64:I64"/>
    <mergeCell ref="A65:I65"/>
    <mergeCell ref="A66:I66"/>
    <mergeCell ref="A67:I67"/>
    <mergeCell ref="A58:I58"/>
    <mergeCell ref="A59:I59"/>
    <mergeCell ref="A60:I60"/>
    <mergeCell ref="A61:I61"/>
    <mergeCell ref="A62:I62"/>
    <mergeCell ref="A73:I73"/>
    <mergeCell ref="A74:I74"/>
    <mergeCell ref="A75:I75"/>
    <mergeCell ref="A76:I76"/>
    <mergeCell ref="A77:I77"/>
    <mergeCell ref="A68:I68"/>
    <mergeCell ref="A69:I69"/>
    <mergeCell ref="A70:I70"/>
    <mergeCell ref="A71:I71"/>
    <mergeCell ref="A72:I72"/>
    <mergeCell ref="A83:I83"/>
    <mergeCell ref="A84:I84"/>
    <mergeCell ref="A85:I85"/>
    <mergeCell ref="A86:I86"/>
    <mergeCell ref="A87:I87"/>
    <mergeCell ref="A78:I78"/>
    <mergeCell ref="A79:I79"/>
    <mergeCell ref="A80:I80"/>
    <mergeCell ref="A81:I81"/>
    <mergeCell ref="A82:I82"/>
    <mergeCell ref="A93:I93"/>
    <mergeCell ref="A94:I94"/>
    <mergeCell ref="A95:I95"/>
    <mergeCell ref="A96:I96"/>
    <mergeCell ref="A97:I97"/>
    <mergeCell ref="A88:I88"/>
    <mergeCell ref="A89:I89"/>
    <mergeCell ref="A90:I90"/>
    <mergeCell ref="A91:I91"/>
    <mergeCell ref="A92:I92"/>
    <mergeCell ref="A103:I103"/>
    <mergeCell ref="A104:I104"/>
    <mergeCell ref="A105:I105"/>
    <mergeCell ref="A106:I106"/>
    <mergeCell ref="A107:I107"/>
    <mergeCell ref="A98:I98"/>
    <mergeCell ref="A99:I99"/>
    <mergeCell ref="A100:I100"/>
    <mergeCell ref="A101:I101"/>
    <mergeCell ref="A102:I102"/>
    <mergeCell ref="A113:I113"/>
    <mergeCell ref="A114:I114"/>
    <mergeCell ref="A115:I115"/>
    <mergeCell ref="A116:I116"/>
    <mergeCell ref="A117:I117"/>
    <mergeCell ref="A108:I108"/>
    <mergeCell ref="A109:I109"/>
    <mergeCell ref="A110:I110"/>
    <mergeCell ref="A111:I111"/>
    <mergeCell ref="A112:I112"/>
    <mergeCell ref="A123:I123"/>
    <mergeCell ref="A124:I124"/>
    <mergeCell ref="A125:I125"/>
    <mergeCell ref="A126:I126"/>
    <mergeCell ref="A127:I127"/>
    <mergeCell ref="A118:I118"/>
    <mergeCell ref="A119:I119"/>
    <mergeCell ref="A120:I120"/>
    <mergeCell ref="A121:I121"/>
    <mergeCell ref="A122:I122"/>
    <mergeCell ref="A133:I133"/>
    <mergeCell ref="A134:I134"/>
    <mergeCell ref="A135:I135"/>
    <mergeCell ref="A136:I136"/>
    <mergeCell ref="A137:I137"/>
    <mergeCell ref="A128:I128"/>
    <mergeCell ref="A129:I129"/>
    <mergeCell ref="A130:I130"/>
    <mergeCell ref="A131:I131"/>
    <mergeCell ref="A132:I132"/>
  </mergeCells>
  <pageMargins left="0.196850393700787" right="0.196850393700787" top="0.196850393700787" bottom="0.196850393700787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topLeftCell="A17" workbookViewId="0">
      <selection activeCell="O29" sqref="O29:Q29"/>
    </sheetView>
  </sheetViews>
  <sheetFormatPr defaultColWidth="9.140625" defaultRowHeight="12.75" x14ac:dyDescent="0.2"/>
  <cols>
    <col min="1" max="8" width="4.85546875" style="2" customWidth="1"/>
    <col min="9" max="9" width="6.85546875" style="2" customWidth="1"/>
    <col min="10" max="16" width="4.85546875" style="2" customWidth="1"/>
    <col min="17" max="17" width="6.5703125" style="2" customWidth="1"/>
    <col min="18" max="18" width="20.7109375" style="2" customWidth="1"/>
    <col min="19" max="19" width="9.140625" style="2"/>
    <col min="20" max="20" width="12.85546875" style="2" bestFit="1" customWidth="1"/>
    <col min="21" max="16384" width="9.140625" style="2"/>
  </cols>
  <sheetData>
    <row r="1" spans="1:18" ht="26.25" hidden="1" customHeight="1" x14ac:dyDescent="0.2">
      <c r="B1" s="31">
        <v>2026</v>
      </c>
      <c r="C1" s="31">
        <v>1</v>
      </c>
      <c r="D1" s="32">
        <v>46023</v>
      </c>
      <c r="E1" s="32">
        <v>46203</v>
      </c>
      <c r="F1" s="31" t="s">
        <v>5</v>
      </c>
      <c r="G1" s="31"/>
      <c r="N1" s="31" t="s">
        <v>270</v>
      </c>
    </row>
    <row r="2" spans="1:18" ht="15.6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90" t="s">
        <v>271</v>
      </c>
      <c r="P2" s="90"/>
      <c r="Q2" s="90"/>
      <c r="R2" s="90"/>
    </row>
    <row r="3" spans="1:18" ht="15.6" customHeight="1" x14ac:dyDescent="0.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91" t="s">
        <v>20</v>
      </c>
      <c r="P3" s="91"/>
      <c r="Q3" s="91"/>
      <c r="R3" s="91"/>
    </row>
    <row r="4" spans="1:18" ht="15.6" customHeight="1" x14ac:dyDescent="0.2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90" t="s">
        <v>21</v>
      </c>
      <c r="P4" s="90"/>
      <c r="Q4" s="90"/>
      <c r="R4" s="90"/>
    </row>
    <row r="5" spans="1:18" ht="15.6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90" t="s">
        <v>22</v>
      </c>
      <c r="P5" s="90"/>
      <c r="Q5" s="90"/>
      <c r="R5" s="90"/>
    </row>
    <row r="6" spans="1:18" ht="15.6" customHeight="1" x14ac:dyDescent="0.2">
      <c r="O6" s="91"/>
      <c r="P6" s="91"/>
      <c r="Q6" s="91"/>
      <c r="R6" s="91"/>
    </row>
    <row r="7" spans="1:18" ht="28.35" customHeight="1" x14ac:dyDescent="0.2">
      <c r="A7" s="109" t="s">
        <v>272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</row>
    <row r="8" spans="1:18" ht="28.35" customHeight="1" x14ac:dyDescent="0.2">
      <c r="A8" s="109" t="s">
        <v>273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</row>
    <row r="9" spans="1:18" s="1" customFormat="1" ht="15.6" customHeight="1" x14ac:dyDescent="0.2">
      <c r="A9" s="90" t="s">
        <v>274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</row>
    <row r="10" spans="1:18" s="1" customFormat="1" ht="15.6" customHeigh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96" t="s">
        <v>4</v>
      </c>
      <c r="P10" s="96"/>
      <c r="Q10" s="96"/>
      <c r="R10" s="96"/>
    </row>
    <row r="11" spans="1:18" ht="22.5" customHeight="1" x14ac:dyDescent="0.2">
      <c r="A11" s="84" t="s">
        <v>6</v>
      </c>
      <c r="B11" s="87"/>
      <c r="C11" s="87"/>
      <c r="D11" s="87"/>
      <c r="E11" s="87"/>
      <c r="F11" s="87"/>
      <c r="G11" s="87"/>
      <c r="H11" s="87"/>
      <c r="I11" s="88"/>
      <c r="J11" s="84" t="s">
        <v>7</v>
      </c>
      <c r="K11" s="88"/>
      <c r="L11" s="84" t="s">
        <v>8</v>
      </c>
      <c r="M11" s="87"/>
      <c r="N11" s="88"/>
      <c r="O11" s="81" t="s">
        <v>275</v>
      </c>
      <c r="P11" s="110"/>
      <c r="Q11" s="111"/>
      <c r="R11" s="28" t="s">
        <v>276</v>
      </c>
    </row>
    <row r="12" spans="1:18" ht="22.5" customHeight="1" x14ac:dyDescent="0.2">
      <c r="A12" s="81">
        <v>1</v>
      </c>
      <c r="B12" s="82"/>
      <c r="C12" s="82"/>
      <c r="D12" s="82"/>
      <c r="E12" s="82"/>
      <c r="F12" s="82"/>
      <c r="G12" s="82"/>
      <c r="H12" s="82"/>
      <c r="I12" s="83"/>
      <c r="J12" s="81">
        <v>2</v>
      </c>
      <c r="K12" s="83"/>
      <c r="L12" s="81">
        <v>3</v>
      </c>
      <c r="M12" s="82"/>
      <c r="N12" s="83"/>
      <c r="O12" s="81">
        <v>4</v>
      </c>
      <c r="P12" s="82"/>
      <c r="Q12" s="83"/>
      <c r="R12" s="28">
        <v>5</v>
      </c>
    </row>
    <row r="13" spans="1:18" ht="15" customHeight="1" x14ac:dyDescent="0.2">
      <c r="A13" s="103" t="s">
        <v>277</v>
      </c>
      <c r="B13" s="104"/>
      <c r="C13" s="104"/>
      <c r="D13" s="104"/>
      <c r="E13" s="104"/>
      <c r="F13" s="104"/>
      <c r="G13" s="104"/>
      <c r="H13" s="104"/>
      <c r="I13" s="104"/>
      <c r="J13" s="105" t="s">
        <v>278</v>
      </c>
      <c r="K13" s="106"/>
      <c r="L13" s="105"/>
      <c r="M13" s="106"/>
      <c r="N13" s="106"/>
      <c r="O13" s="107">
        <v>0</v>
      </c>
      <c r="P13" s="108"/>
      <c r="Q13" s="108"/>
      <c r="R13" s="35">
        <v>0</v>
      </c>
    </row>
    <row r="14" spans="1:18" ht="15" customHeight="1" x14ac:dyDescent="0.2">
      <c r="A14" s="98" t="s">
        <v>279</v>
      </c>
      <c r="B14" s="98"/>
      <c r="C14" s="98"/>
      <c r="D14" s="98"/>
      <c r="E14" s="98"/>
      <c r="F14" s="98"/>
      <c r="G14" s="98"/>
      <c r="H14" s="98"/>
      <c r="I14" s="98"/>
      <c r="J14" s="100" t="s">
        <v>280</v>
      </c>
      <c r="K14" s="100"/>
      <c r="L14" s="100"/>
      <c r="M14" s="100"/>
      <c r="N14" s="100"/>
      <c r="O14" s="102">
        <v>35153841919</v>
      </c>
      <c r="P14" s="102"/>
      <c r="Q14" s="102"/>
      <c r="R14" s="36">
        <v>84408878545</v>
      </c>
    </row>
    <row r="15" spans="1:18" ht="15" customHeight="1" x14ac:dyDescent="0.2">
      <c r="A15" s="98" t="s">
        <v>281</v>
      </c>
      <c r="B15" s="98"/>
      <c r="C15" s="98"/>
      <c r="D15" s="98"/>
      <c r="E15" s="98"/>
      <c r="F15" s="98"/>
      <c r="G15" s="98"/>
      <c r="H15" s="98"/>
      <c r="I15" s="98"/>
      <c r="J15" s="100" t="s">
        <v>282</v>
      </c>
      <c r="K15" s="100"/>
      <c r="L15" s="100"/>
      <c r="M15" s="100"/>
      <c r="N15" s="100"/>
      <c r="O15" s="102">
        <v>-8527630527</v>
      </c>
      <c r="P15" s="102"/>
      <c r="Q15" s="102"/>
      <c r="R15" s="36">
        <v>-23592782860</v>
      </c>
    </row>
    <row r="16" spans="1:18" ht="15" customHeight="1" x14ac:dyDescent="0.2">
      <c r="A16" s="98" t="s">
        <v>283</v>
      </c>
      <c r="B16" s="98"/>
      <c r="C16" s="98"/>
      <c r="D16" s="98"/>
      <c r="E16" s="98"/>
      <c r="F16" s="98"/>
      <c r="G16" s="98"/>
      <c r="H16" s="98"/>
      <c r="I16" s="98"/>
      <c r="J16" s="100" t="s">
        <v>284</v>
      </c>
      <c r="K16" s="100"/>
      <c r="L16" s="100"/>
      <c r="M16" s="100"/>
      <c r="N16" s="100"/>
      <c r="O16" s="102">
        <v>-34151455175</v>
      </c>
      <c r="P16" s="102"/>
      <c r="Q16" s="102"/>
      <c r="R16" s="36">
        <v>-19505749710</v>
      </c>
    </row>
    <row r="17" spans="1:20" ht="15" customHeight="1" x14ac:dyDescent="0.2">
      <c r="A17" s="98" t="s">
        <v>285</v>
      </c>
      <c r="B17" s="98"/>
      <c r="C17" s="98"/>
      <c r="D17" s="98"/>
      <c r="E17" s="98"/>
      <c r="F17" s="98"/>
      <c r="G17" s="98"/>
      <c r="H17" s="98"/>
      <c r="I17" s="98"/>
      <c r="J17" s="100" t="s">
        <v>286</v>
      </c>
      <c r="K17" s="100"/>
      <c r="L17" s="100"/>
      <c r="M17" s="100"/>
      <c r="N17" s="100"/>
      <c r="O17" s="102">
        <v>0</v>
      </c>
      <c r="P17" s="102"/>
      <c r="Q17" s="102"/>
      <c r="R17" s="36">
        <v>0</v>
      </c>
    </row>
    <row r="18" spans="1:20" ht="15" customHeight="1" x14ac:dyDescent="0.2">
      <c r="A18" s="98" t="s">
        <v>287</v>
      </c>
      <c r="B18" s="98"/>
      <c r="C18" s="98"/>
      <c r="D18" s="98"/>
      <c r="E18" s="98"/>
      <c r="F18" s="98"/>
      <c r="G18" s="98"/>
      <c r="H18" s="98"/>
      <c r="I18" s="98"/>
      <c r="J18" s="100" t="s">
        <v>288</v>
      </c>
      <c r="K18" s="100"/>
      <c r="L18" s="100"/>
      <c r="M18" s="100"/>
      <c r="N18" s="100"/>
      <c r="O18" s="102">
        <v>-1471515764</v>
      </c>
      <c r="P18" s="102"/>
      <c r="Q18" s="102"/>
      <c r="R18" s="36">
        <v>-652610693</v>
      </c>
    </row>
    <row r="19" spans="1:20" ht="15" customHeight="1" x14ac:dyDescent="0.2">
      <c r="A19" s="98" t="s">
        <v>289</v>
      </c>
      <c r="B19" s="98"/>
      <c r="C19" s="98"/>
      <c r="D19" s="98"/>
      <c r="E19" s="98"/>
      <c r="F19" s="98"/>
      <c r="G19" s="98"/>
      <c r="H19" s="98"/>
      <c r="I19" s="98"/>
      <c r="J19" s="100" t="s">
        <v>290</v>
      </c>
      <c r="K19" s="100"/>
      <c r="L19" s="100"/>
      <c r="M19" s="100"/>
      <c r="N19" s="100"/>
      <c r="O19" s="102">
        <v>70296911872</v>
      </c>
      <c r="P19" s="102"/>
      <c r="Q19" s="102"/>
      <c r="R19" s="36">
        <v>69847227684</v>
      </c>
    </row>
    <row r="20" spans="1:20" ht="15" customHeight="1" x14ac:dyDescent="0.2">
      <c r="A20" s="98" t="s">
        <v>291</v>
      </c>
      <c r="B20" s="98"/>
      <c r="C20" s="98"/>
      <c r="D20" s="98"/>
      <c r="E20" s="98"/>
      <c r="F20" s="98"/>
      <c r="G20" s="98"/>
      <c r="H20" s="98"/>
      <c r="I20" s="98"/>
      <c r="J20" s="100" t="s">
        <v>292</v>
      </c>
      <c r="K20" s="100"/>
      <c r="L20" s="100"/>
      <c r="M20" s="100"/>
      <c r="N20" s="100"/>
      <c r="O20" s="102">
        <f>-27973793978+[1]Main!$K$524+[1]Main!$K$691</f>
        <v>-26323793978</v>
      </c>
      <c r="P20" s="102"/>
      <c r="Q20" s="102"/>
      <c r="R20" s="36">
        <v>-74390827756</v>
      </c>
    </row>
    <row r="21" spans="1:20" ht="15" customHeight="1" x14ac:dyDescent="0.2">
      <c r="A21" s="97" t="s">
        <v>293</v>
      </c>
      <c r="B21" s="98"/>
      <c r="C21" s="98"/>
      <c r="D21" s="98"/>
      <c r="E21" s="98"/>
      <c r="F21" s="98"/>
      <c r="G21" s="98"/>
      <c r="H21" s="98"/>
      <c r="I21" s="98"/>
      <c r="J21" s="99" t="s">
        <v>294</v>
      </c>
      <c r="K21" s="100"/>
      <c r="L21" s="99"/>
      <c r="M21" s="100"/>
      <c r="N21" s="100"/>
      <c r="O21" s="101">
        <f>SUM(O14:Q20)</f>
        <v>34976358347</v>
      </c>
      <c r="P21" s="102"/>
      <c r="Q21" s="102"/>
      <c r="R21" s="37">
        <f>SUM(R14:R20)</f>
        <v>36114135210</v>
      </c>
    </row>
    <row r="22" spans="1:20" ht="15" customHeight="1" x14ac:dyDescent="0.2">
      <c r="A22" s="97" t="s">
        <v>295</v>
      </c>
      <c r="B22" s="98"/>
      <c r="C22" s="98"/>
      <c r="D22" s="98"/>
      <c r="E22" s="98"/>
      <c r="F22" s="98"/>
      <c r="G22" s="98"/>
      <c r="H22" s="98"/>
      <c r="I22" s="98"/>
      <c r="J22" s="99" t="s">
        <v>278</v>
      </c>
      <c r="K22" s="100"/>
      <c r="L22" s="99"/>
      <c r="M22" s="100"/>
      <c r="N22" s="100"/>
      <c r="O22" s="101">
        <v>0</v>
      </c>
      <c r="P22" s="102"/>
      <c r="Q22" s="102"/>
      <c r="R22" s="29">
        <v>0</v>
      </c>
    </row>
    <row r="23" spans="1:20" ht="15" customHeight="1" x14ac:dyDescent="0.2">
      <c r="A23" s="98" t="s">
        <v>296</v>
      </c>
      <c r="B23" s="98"/>
      <c r="C23" s="98"/>
      <c r="D23" s="98"/>
      <c r="E23" s="98"/>
      <c r="F23" s="98"/>
      <c r="G23" s="98"/>
      <c r="H23" s="98"/>
      <c r="I23" s="98"/>
      <c r="J23" s="100" t="s">
        <v>297</v>
      </c>
      <c r="K23" s="100"/>
      <c r="L23" s="100"/>
      <c r="M23" s="100"/>
      <c r="N23" s="100"/>
      <c r="O23" s="102">
        <v>0</v>
      </c>
      <c r="P23" s="102"/>
      <c r="Q23" s="102"/>
      <c r="R23" s="30">
        <v>0</v>
      </c>
    </row>
    <row r="24" spans="1:20" ht="15" customHeight="1" x14ac:dyDescent="0.2">
      <c r="A24" s="98" t="s">
        <v>298</v>
      </c>
      <c r="B24" s="98"/>
      <c r="C24" s="98"/>
      <c r="D24" s="98"/>
      <c r="E24" s="98"/>
      <c r="F24" s="98"/>
      <c r="G24" s="98"/>
      <c r="H24" s="98"/>
      <c r="I24" s="98"/>
      <c r="J24" s="100" t="s">
        <v>299</v>
      </c>
      <c r="K24" s="100"/>
      <c r="L24" s="100"/>
      <c r="M24" s="100"/>
      <c r="N24" s="100"/>
      <c r="O24" s="102">
        <v>0</v>
      </c>
      <c r="P24" s="102"/>
      <c r="Q24" s="102"/>
      <c r="R24" s="30">
        <v>0</v>
      </c>
    </row>
    <row r="25" spans="1:20" ht="15" customHeight="1" x14ac:dyDescent="0.2">
      <c r="A25" s="98" t="s">
        <v>300</v>
      </c>
      <c r="B25" s="98"/>
      <c r="C25" s="98"/>
      <c r="D25" s="98"/>
      <c r="E25" s="98"/>
      <c r="F25" s="98"/>
      <c r="G25" s="98"/>
      <c r="H25" s="98"/>
      <c r="I25" s="98"/>
      <c r="J25" s="100" t="s">
        <v>301</v>
      </c>
      <c r="K25" s="100"/>
      <c r="L25" s="100"/>
      <c r="M25" s="100"/>
      <c r="N25" s="100"/>
      <c r="O25" s="102">
        <v>0</v>
      </c>
      <c r="P25" s="102"/>
      <c r="Q25" s="102"/>
      <c r="R25" s="30">
        <v>0</v>
      </c>
    </row>
    <row r="26" spans="1:20" ht="15" customHeight="1" x14ac:dyDescent="0.2">
      <c r="A26" s="98" t="s">
        <v>302</v>
      </c>
      <c r="B26" s="98"/>
      <c r="C26" s="98"/>
      <c r="D26" s="98"/>
      <c r="E26" s="98"/>
      <c r="F26" s="98"/>
      <c r="G26" s="98"/>
      <c r="H26" s="98"/>
      <c r="I26" s="98"/>
      <c r="J26" s="100" t="s">
        <v>303</v>
      </c>
      <c r="K26" s="100"/>
      <c r="L26" s="100"/>
      <c r="M26" s="100"/>
      <c r="N26" s="100"/>
      <c r="O26" s="102">
        <v>0</v>
      </c>
      <c r="P26" s="102"/>
      <c r="Q26" s="102"/>
      <c r="R26" s="30">
        <v>0</v>
      </c>
    </row>
    <row r="27" spans="1:20" ht="15" customHeight="1" x14ac:dyDescent="0.2">
      <c r="A27" s="98" t="s">
        <v>304</v>
      </c>
      <c r="B27" s="98"/>
      <c r="C27" s="98"/>
      <c r="D27" s="98"/>
      <c r="E27" s="98"/>
      <c r="F27" s="98"/>
      <c r="G27" s="98"/>
      <c r="H27" s="98"/>
      <c r="I27" s="98"/>
      <c r="J27" s="100" t="s">
        <v>305</v>
      </c>
      <c r="K27" s="100"/>
      <c r="L27" s="100"/>
      <c r="M27" s="100"/>
      <c r="N27" s="100"/>
      <c r="O27" s="102">
        <v>0</v>
      </c>
      <c r="P27" s="102"/>
      <c r="Q27" s="102"/>
      <c r="R27" s="30">
        <v>0</v>
      </c>
    </row>
    <row r="28" spans="1:20" ht="15" customHeight="1" x14ac:dyDescent="0.2">
      <c r="A28" s="98" t="s">
        <v>306</v>
      </c>
      <c r="B28" s="98"/>
      <c r="C28" s="98"/>
      <c r="D28" s="98"/>
      <c r="E28" s="98"/>
      <c r="F28" s="98"/>
      <c r="G28" s="98"/>
      <c r="H28" s="98"/>
      <c r="I28" s="98"/>
      <c r="J28" s="100" t="s">
        <v>307</v>
      </c>
      <c r="K28" s="100"/>
      <c r="L28" s="100"/>
      <c r="M28" s="100"/>
      <c r="N28" s="100"/>
      <c r="O28" s="102">
        <v>0</v>
      </c>
      <c r="P28" s="102"/>
      <c r="Q28" s="102"/>
      <c r="R28" s="30">
        <v>0</v>
      </c>
    </row>
    <row r="29" spans="1:20" ht="15" customHeight="1" x14ac:dyDescent="0.2">
      <c r="A29" s="98" t="s">
        <v>308</v>
      </c>
      <c r="B29" s="98"/>
      <c r="C29" s="98"/>
      <c r="D29" s="98"/>
      <c r="E29" s="98"/>
      <c r="F29" s="98"/>
      <c r="G29" s="98"/>
      <c r="H29" s="98"/>
      <c r="I29" s="98"/>
      <c r="J29" s="100" t="s">
        <v>309</v>
      </c>
      <c r="K29" s="100"/>
      <c r="L29" s="100"/>
      <c r="M29" s="100"/>
      <c r="N29" s="100"/>
      <c r="O29" s="102">
        <v>651078798</v>
      </c>
      <c r="P29" s="102"/>
      <c r="Q29" s="102"/>
      <c r="R29" s="30">
        <v>1371541823</v>
      </c>
    </row>
    <row r="30" spans="1:20" ht="15" customHeight="1" x14ac:dyDescent="0.2">
      <c r="A30" s="97" t="s">
        <v>310</v>
      </c>
      <c r="B30" s="98"/>
      <c r="C30" s="98"/>
      <c r="D30" s="98"/>
      <c r="E30" s="98"/>
      <c r="F30" s="98"/>
      <c r="G30" s="98"/>
      <c r="H30" s="98"/>
      <c r="I30" s="98"/>
      <c r="J30" s="99" t="s">
        <v>311</v>
      </c>
      <c r="K30" s="100"/>
      <c r="L30" s="99"/>
      <c r="M30" s="100"/>
      <c r="N30" s="100"/>
      <c r="O30" s="101">
        <f>SUM(O23:Q29)</f>
        <v>651078798</v>
      </c>
      <c r="P30" s="102"/>
      <c r="Q30" s="102"/>
      <c r="R30" s="37">
        <f>SUM(R23:R29)</f>
        <v>1371541823</v>
      </c>
    </row>
    <row r="31" spans="1:20" ht="15" customHeight="1" x14ac:dyDescent="0.2">
      <c r="A31" s="97" t="s">
        <v>312</v>
      </c>
      <c r="B31" s="98"/>
      <c r="C31" s="98"/>
      <c r="D31" s="98"/>
      <c r="E31" s="98"/>
      <c r="F31" s="98"/>
      <c r="G31" s="98"/>
      <c r="H31" s="98"/>
      <c r="I31" s="98"/>
      <c r="J31" s="99" t="s">
        <v>278</v>
      </c>
      <c r="K31" s="100"/>
      <c r="L31" s="99"/>
      <c r="M31" s="100"/>
      <c r="N31" s="100"/>
      <c r="O31" s="101"/>
      <c r="P31" s="102"/>
      <c r="Q31" s="102"/>
      <c r="R31" s="29"/>
      <c r="T31" s="38"/>
    </row>
    <row r="32" spans="1:20" ht="15" customHeight="1" x14ac:dyDescent="0.2">
      <c r="A32" s="98" t="s">
        <v>313</v>
      </c>
      <c r="B32" s="98"/>
      <c r="C32" s="98"/>
      <c r="D32" s="98"/>
      <c r="E32" s="98"/>
      <c r="F32" s="98"/>
      <c r="G32" s="98"/>
      <c r="H32" s="98"/>
      <c r="I32" s="98"/>
      <c r="J32" s="100" t="s">
        <v>314</v>
      </c>
      <c r="K32" s="100"/>
      <c r="L32" s="100"/>
      <c r="M32" s="100"/>
      <c r="N32" s="100"/>
      <c r="O32" s="102">
        <v>0</v>
      </c>
      <c r="P32" s="102"/>
      <c r="Q32" s="102"/>
      <c r="R32" s="30">
        <v>0</v>
      </c>
    </row>
    <row r="33" spans="1:20" ht="15" customHeight="1" x14ac:dyDescent="0.2">
      <c r="A33" s="98" t="s">
        <v>315</v>
      </c>
      <c r="B33" s="98"/>
      <c r="C33" s="98"/>
      <c r="D33" s="98"/>
      <c r="E33" s="98"/>
      <c r="F33" s="98"/>
      <c r="G33" s="98"/>
      <c r="H33" s="98"/>
      <c r="I33" s="98"/>
      <c r="J33" s="100" t="s">
        <v>316</v>
      </c>
      <c r="K33" s="100"/>
      <c r="L33" s="100"/>
      <c r="M33" s="100"/>
      <c r="N33" s="100"/>
      <c r="O33" s="102">
        <v>0</v>
      </c>
      <c r="P33" s="102"/>
      <c r="Q33" s="102"/>
      <c r="R33" s="30">
        <v>0</v>
      </c>
    </row>
    <row r="34" spans="1:20" ht="15" customHeight="1" x14ac:dyDescent="0.2">
      <c r="A34" s="98" t="s">
        <v>317</v>
      </c>
      <c r="B34" s="98"/>
      <c r="C34" s="98"/>
      <c r="D34" s="98"/>
      <c r="E34" s="98"/>
      <c r="F34" s="98"/>
      <c r="G34" s="98"/>
      <c r="H34" s="98"/>
      <c r="I34" s="98"/>
      <c r="J34" s="100" t="s">
        <v>318</v>
      </c>
      <c r="K34" s="100"/>
      <c r="L34" s="100"/>
      <c r="M34" s="100"/>
      <c r="N34" s="100"/>
      <c r="O34" s="102">
        <v>0</v>
      </c>
      <c r="P34" s="102"/>
      <c r="Q34" s="102"/>
      <c r="R34" s="30">
        <v>0</v>
      </c>
    </row>
    <row r="35" spans="1:20" ht="15" customHeight="1" x14ac:dyDescent="0.2">
      <c r="A35" s="98" t="s">
        <v>319</v>
      </c>
      <c r="B35" s="98"/>
      <c r="C35" s="98"/>
      <c r="D35" s="98"/>
      <c r="E35" s="98"/>
      <c r="F35" s="98"/>
      <c r="G35" s="98"/>
      <c r="H35" s="98"/>
      <c r="I35" s="98"/>
      <c r="J35" s="100" t="s">
        <v>320</v>
      </c>
      <c r="K35" s="100"/>
      <c r="L35" s="100"/>
      <c r="M35" s="100"/>
      <c r="N35" s="100"/>
      <c r="O35" s="102">
        <v>0</v>
      </c>
      <c r="P35" s="102"/>
      <c r="Q35" s="102"/>
      <c r="R35" s="30">
        <v>0</v>
      </c>
    </row>
    <row r="36" spans="1:20" ht="15" customHeight="1" x14ac:dyDescent="0.2">
      <c r="A36" s="98" t="s">
        <v>321</v>
      </c>
      <c r="B36" s="98"/>
      <c r="C36" s="98"/>
      <c r="D36" s="98"/>
      <c r="E36" s="98"/>
      <c r="F36" s="98"/>
      <c r="G36" s="98"/>
      <c r="H36" s="98"/>
      <c r="I36" s="98"/>
      <c r="J36" s="100" t="s">
        <v>322</v>
      </c>
      <c r="K36" s="100"/>
      <c r="L36" s="100"/>
      <c r="M36" s="100"/>
      <c r="N36" s="100"/>
      <c r="O36" s="102">
        <v>0</v>
      </c>
      <c r="P36" s="102"/>
      <c r="Q36" s="102"/>
      <c r="R36" s="30">
        <v>0</v>
      </c>
      <c r="T36" s="38"/>
    </row>
    <row r="37" spans="1:20" ht="15" customHeight="1" x14ac:dyDescent="0.2">
      <c r="A37" s="98" t="s">
        <v>323</v>
      </c>
      <c r="B37" s="98"/>
      <c r="C37" s="98"/>
      <c r="D37" s="98"/>
      <c r="E37" s="98"/>
      <c r="F37" s="98"/>
      <c r="G37" s="98"/>
      <c r="H37" s="98"/>
      <c r="I37" s="98"/>
      <c r="J37" s="100" t="s">
        <v>324</v>
      </c>
      <c r="K37" s="100"/>
      <c r="L37" s="100"/>
      <c r="M37" s="100"/>
      <c r="N37" s="100"/>
      <c r="O37" s="102">
        <v>-33000000000</v>
      </c>
      <c r="P37" s="102"/>
      <c r="Q37" s="102"/>
      <c r="R37" s="30">
        <v>-45000000000</v>
      </c>
    </row>
    <row r="38" spans="1:20" ht="15" customHeight="1" x14ac:dyDescent="0.2">
      <c r="A38" s="97" t="s">
        <v>325</v>
      </c>
      <c r="B38" s="98"/>
      <c r="C38" s="98"/>
      <c r="D38" s="98"/>
      <c r="E38" s="98"/>
      <c r="F38" s="98"/>
      <c r="G38" s="98"/>
      <c r="H38" s="98"/>
      <c r="I38" s="98"/>
      <c r="J38" s="99" t="s">
        <v>326</v>
      </c>
      <c r="K38" s="100"/>
      <c r="L38" s="99"/>
      <c r="M38" s="100"/>
      <c r="N38" s="100"/>
      <c r="O38" s="101">
        <f>SUM(O32:Q37)</f>
        <v>-33000000000</v>
      </c>
      <c r="P38" s="102"/>
      <c r="Q38" s="102"/>
      <c r="R38" s="29">
        <f>SUM(R32:R37)</f>
        <v>-45000000000</v>
      </c>
      <c r="T38" s="38"/>
    </row>
    <row r="39" spans="1:20" ht="15" customHeight="1" x14ac:dyDescent="0.2">
      <c r="A39" s="97" t="s">
        <v>327</v>
      </c>
      <c r="B39" s="98"/>
      <c r="C39" s="98"/>
      <c r="D39" s="98"/>
      <c r="E39" s="98"/>
      <c r="F39" s="98"/>
      <c r="G39" s="98"/>
      <c r="H39" s="98"/>
      <c r="I39" s="98"/>
      <c r="J39" s="99" t="s">
        <v>328</v>
      </c>
      <c r="K39" s="100"/>
      <c r="L39" s="99"/>
      <c r="M39" s="100"/>
      <c r="N39" s="100"/>
      <c r="O39" s="101">
        <f>O42-O40</f>
        <v>2627437145</v>
      </c>
      <c r="P39" s="102"/>
      <c r="Q39" s="102"/>
      <c r="R39" s="37">
        <f>R42-R40</f>
        <v>-7514322967</v>
      </c>
    </row>
    <row r="40" spans="1:20" ht="15" customHeight="1" x14ac:dyDescent="0.2">
      <c r="A40" s="97" t="s">
        <v>329</v>
      </c>
      <c r="B40" s="98"/>
      <c r="C40" s="98"/>
      <c r="D40" s="98"/>
      <c r="E40" s="98"/>
      <c r="F40" s="98"/>
      <c r="G40" s="98"/>
      <c r="H40" s="98"/>
      <c r="I40" s="98"/>
      <c r="J40" s="99" t="s">
        <v>330</v>
      </c>
      <c r="K40" s="100"/>
      <c r="L40" s="99"/>
      <c r="M40" s="100"/>
      <c r="N40" s="100"/>
      <c r="O40" s="101">
        <v>401179402</v>
      </c>
      <c r="P40" s="102"/>
      <c r="Q40" s="102"/>
      <c r="R40" s="29">
        <v>7915502369</v>
      </c>
    </row>
    <row r="41" spans="1:20" ht="15" customHeight="1" x14ac:dyDescent="0.2">
      <c r="A41" s="98" t="s">
        <v>331</v>
      </c>
      <c r="B41" s="98"/>
      <c r="C41" s="98"/>
      <c r="D41" s="98"/>
      <c r="E41" s="98"/>
      <c r="F41" s="98"/>
      <c r="G41" s="98"/>
      <c r="H41" s="98"/>
      <c r="I41" s="98"/>
      <c r="J41" s="100" t="s">
        <v>332</v>
      </c>
      <c r="K41" s="100"/>
      <c r="L41" s="100"/>
      <c r="M41" s="100"/>
      <c r="N41" s="100"/>
      <c r="O41" s="102">
        <v>0</v>
      </c>
      <c r="P41" s="102"/>
      <c r="Q41" s="102"/>
      <c r="R41" s="30">
        <v>0</v>
      </c>
    </row>
    <row r="42" spans="1:20" ht="15" customHeight="1" x14ac:dyDescent="0.2">
      <c r="A42" s="97" t="s">
        <v>333</v>
      </c>
      <c r="B42" s="98"/>
      <c r="C42" s="98"/>
      <c r="D42" s="98"/>
      <c r="E42" s="98"/>
      <c r="F42" s="98"/>
      <c r="G42" s="98"/>
      <c r="H42" s="98"/>
      <c r="I42" s="98"/>
      <c r="J42" s="99" t="s">
        <v>334</v>
      </c>
      <c r="K42" s="100"/>
      <c r="L42" s="99"/>
      <c r="M42" s="100"/>
      <c r="N42" s="100"/>
      <c r="O42" s="101">
        <v>3028616547</v>
      </c>
      <c r="P42" s="102"/>
      <c r="Q42" s="102"/>
      <c r="R42" s="29">
        <v>401179402</v>
      </c>
    </row>
    <row r="43" spans="1:20" ht="22.5" hidden="1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5"/>
      <c r="K43" s="15"/>
      <c r="L43" s="15"/>
      <c r="M43" s="15"/>
      <c r="N43" s="15"/>
      <c r="O43" s="16"/>
      <c r="P43" s="16"/>
      <c r="Q43" s="16"/>
      <c r="R43" s="16"/>
    </row>
    <row r="44" spans="1:20" ht="15.6" customHeight="1" x14ac:dyDescent="0.2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4"/>
      <c r="M44" s="34"/>
      <c r="N44" s="34"/>
      <c r="O44" s="34"/>
      <c r="P44" s="33"/>
      <c r="Q44" s="33"/>
      <c r="R44" s="33"/>
    </row>
    <row r="45" spans="1:20" s="1" customFormat="1" ht="15.6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94" t="s">
        <v>10</v>
      </c>
      <c r="N45" s="94"/>
      <c r="O45" s="94"/>
      <c r="P45" s="94"/>
      <c r="Q45" s="94"/>
      <c r="R45" s="94"/>
    </row>
    <row r="46" spans="1:20" s="1" customFormat="1" ht="15.6" customHeight="1" x14ac:dyDescent="0.2">
      <c r="A46" s="89" t="s">
        <v>11</v>
      </c>
      <c r="B46" s="89"/>
      <c r="C46" s="89"/>
      <c r="D46" s="89"/>
      <c r="E46" s="89"/>
      <c r="F46" s="9"/>
      <c r="G46" s="9"/>
      <c r="H46" s="89" t="s">
        <v>12</v>
      </c>
      <c r="I46" s="89"/>
      <c r="J46" s="89"/>
      <c r="K46" s="89"/>
      <c r="L46" s="89"/>
      <c r="M46" s="89"/>
      <c r="P46" s="93" t="s">
        <v>13</v>
      </c>
      <c r="Q46" s="93"/>
      <c r="R46" s="93"/>
    </row>
    <row r="47" spans="1:20" s="1" customFormat="1" ht="15.6" customHeight="1" x14ac:dyDescent="0.2">
      <c r="A47" s="95" t="s">
        <v>14</v>
      </c>
      <c r="B47" s="95"/>
      <c r="C47" s="95"/>
      <c r="D47" s="95"/>
      <c r="E47" s="95"/>
      <c r="F47" s="12"/>
      <c r="G47" s="12"/>
      <c r="H47" s="95" t="s">
        <v>14</v>
      </c>
      <c r="I47" s="95"/>
      <c r="J47" s="95"/>
      <c r="K47" s="95"/>
      <c r="L47" s="95"/>
      <c r="M47" s="95"/>
      <c r="P47" s="95" t="s">
        <v>14</v>
      </c>
      <c r="Q47" s="95"/>
      <c r="R47" s="95"/>
    </row>
    <row r="48" spans="1:20" ht="56.8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"/>
      <c r="P48" s="7"/>
      <c r="Q48" s="7"/>
      <c r="R48" s="7"/>
    </row>
    <row r="49" spans="1:18" s="1" customFormat="1" ht="15.6" customHeight="1" x14ac:dyDescent="0.2">
      <c r="A49" s="89"/>
      <c r="B49" s="89"/>
      <c r="C49" s="89"/>
      <c r="D49" s="89"/>
      <c r="E49" s="89"/>
      <c r="F49" s="10"/>
      <c r="G49" s="10"/>
      <c r="H49" s="89"/>
      <c r="I49" s="89"/>
      <c r="J49" s="89"/>
      <c r="K49" s="89"/>
      <c r="L49" s="89"/>
      <c r="M49" s="89"/>
      <c r="P49" s="93" t="s">
        <v>17</v>
      </c>
      <c r="Q49" s="93"/>
      <c r="R49" s="93"/>
    </row>
    <row r="51" spans="1:18" x14ac:dyDescent="0.2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</row>
  </sheetData>
  <mergeCells count="148">
    <mergeCell ref="A8:R8"/>
    <mergeCell ref="A9:R9"/>
    <mergeCell ref="O10:R10"/>
    <mergeCell ref="A11:I11"/>
    <mergeCell ref="J11:K11"/>
    <mergeCell ref="L11:N11"/>
    <mergeCell ref="O11:Q11"/>
    <mergeCell ref="O2:R2"/>
    <mergeCell ref="O3:R3"/>
    <mergeCell ref="O4:R4"/>
    <mergeCell ref="O5:R5"/>
    <mergeCell ref="O6:R6"/>
    <mergeCell ref="A7:R7"/>
    <mergeCell ref="A14:I14"/>
    <mergeCell ref="J14:K14"/>
    <mergeCell ref="L14:N14"/>
    <mergeCell ref="O14:Q14"/>
    <mergeCell ref="A15:I15"/>
    <mergeCell ref="J15:K15"/>
    <mergeCell ref="L15:N15"/>
    <mergeCell ref="O15:Q15"/>
    <mergeCell ref="A12:I12"/>
    <mergeCell ref="J12:K12"/>
    <mergeCell ref="L12:N12"/>
    <mergeCell ref="O12:Q12"/>
    <mergeCell ref="A13:I13"/>
    <mergeCell ref="J13:K13"/>
    <mergeCell ref="L13:N13"/>
    <mergeCell ref="O13:Q13"/>
    <mergeCell ref="A18:I18"/>
    <mergeCell ref="J18:K18"/>
    <mergeCell ref="L18:N18"/>
    <mergeCell ref="O18:Q18"/>
    <mergeCell ref="A19:I19"/>
    <mergeCell ref="J19:K19"/>
    <mergeCell ref="L19:N19"/>
    <mergeCell ref="O19:Q19"/>
    <mergeCell ref="A16:I16"/>
    <mergeCell ref="J16:K16"/>
    <mergeCell ref="L16:N16"/>
    <mergeCell ref="O16:Q16"/>
    <mergeCell ref="A17:I17"/>
    <mergeCell ref="J17:K17"/>
    <mergeCell ref="L17:N17"/>
    <mergeCell ref="O17:Q17"/>
    <mergeCell ref="A22:I22"/>
    <mergeCell ref="J22:K22"/>
    <mergeCell ref="L22:N22"/>
    <mergeCell ref="O22:Q22"/>
    <mergeCell ref="A23:I23"/>
    <mergeCell ref="J23:K23"/>
    <mergeCell ref="L23:N23"/>
    <mergeCell ref="O23:Q23"/>
    <mergeCell ref="A20:I20"/>
    <mergeCell ref="J20:K20"/>
    <mergeCell ref="L20:N20"/>
    <mergeCell ref="O20:Q20"/>
    <mergeCell ref="A21:I21"/>
    <mergeCell ref="J21:K21"/>
    <mergeCell ref="L21:N21"/>
    <mergeCell ref="O21:Q21"/>
    <mergeCell ref="A26:I26"/>
    <mergeCell ref="J26:K26"/>
    <mergeCell ref="L26:N26"/>
    <mergeCell ref="O26:Q26"/>
    <mergeCell ref="A27:I27"/>
    <mergeCell ref="J27:K27"/>
    <mergeCell ref="L27:N27"/>
    <mergeCell ref="O27:Q27"/>
    <mergeCell ref="A24:I24"/>
    <mergeCell ref="J24:K24"/>
    <mergeCell ref="L24:N24"/>
    <mergeCell ref="O24:Q24"/>
    <mergeCell ref="A25:I25"/>
    <mergeCell ref="J25:K25"/>
    <mergeCell ref="L25:N25"/>
    <mergeCell ref="O25:Q25"/>
    <mergeCell ref="A30:I30"/>
    <mergeCell ref="J30:K30"/>
    <mergeCell ref="L30:N30"/>
    <mergeCell ref="O30:Q30"/>
    <mergeCell ref="A31:I31"/>
    <mergeCell ref="J31:K31"/>
    <mergeCell ref="L31:N31"/>
    <mergeCell ref="O31:Q31"/>
    <mergeCell ref="A28:I28"/>
    <mergeCell ref="J28:K28"/>
    <mergeCell ref="L28:N28"/>
    <mergeCell ref="O28:Q28"/>
    <mergeCell ref="A29:I29"/>
    <mergeCell ref="J29:K29"/>
    <mergeCell ref="L29:N29"/>
    <mergeCell ref="O29:Q29"/>
    <mergeCell ref="A34:I34"/>
    <mergeCell ref="J34:K34"/>
    <mergeCell ref="L34:N34"/>
    <mergeCell ref="O34:Q34"/>
    <mergeCell ref="A35:I35"/>
    <mergeCell ref="J35:K35"/>
    <mergeCell ref="L35:N35"/>
    <mergeCell ref="O35:Q35"/>
    <mergeCell ref="A32:I32"/>
    <mergeCell ref="J32:K32"/>
    <mergeCell ref="L32:N32"/>
    <mergeCell ref="O32:Q32"/>
    <mergeCell ref="A33:I33"/>
    <mergeCell ref="J33:K33"/>
    <mergeCell ref="L33:N33"/>
    <mergeCell ref="O33:Q33"/>
    <mergeCell ref="A38:I38"/>
    <mergeCell ref="J38:K38"/>
    <mergeCell ref="L38:N38"/>
    <mergeCell ref="O38:Q38"/>
    <mergeCell ref="A39:I39"/>
    <mergeCell ref="J39:K39"/>
    <mergeCell ref="L39:N39"/>
    <mergeCell ref="O39:Q39"/>
    <mergeCell ref="A36:I36"/>
    <mergeCell ref="J36:K36"/>
    <mergeCell ref="L36:N36"/>
    <mergeCell ref="O36:Q36"/>
    <mergeCell ref="A37:I37"/>
    <mergeCell ref="J37:K37"/>
    <mergeCell ref="L37:N37"/>
    <mergeCell ref="O37:Q37"/>
    <mergeCell ref="A42:I42"/>
    <mergeCell ref="J42:K42"/>
    <mergeCell ref="L42:N42"/>
    <mergeCell ref="O42:Q42"/>
    <mergeCell ref="M45:R45"/>
    <mergeCell ref="A40:I40"/>
    <mergeCell ref="J40:K40"/>
    <mergeCell ref="L40:N40"/>
    <mergeCell ref="O40:Q40"/>
    <mergeCell ref="A41:I41"/>
    <mergeCell ref="J41:K41"/>
    <mergeCell ref="L41:N41"/>
    <mergeCell ref="O41:Q41"/>
    <mergeCell ref="A49:E49"/>
    <mergeCell ref="H49:M49"/>
    <mergeCell ref="P49:R49"/>
    <mergeCell ref="A51:R51"/>
    <mergeCell ref="A46:E46"/>
    <mergeCell ref="H46:M46"/>
    <mergeCell ref="P46:R46"/>
    <mergeCell ref="A47:E47"/>
    <mergeCell ref="H47:M47"/>
    <mergeCell ref="P47:R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tabSelected="1" topLeftCell="A5" workbookViewId="0">
      <selection activeCell="O28" sqref="O28:Q28"/>
    </sheetView>
  </sheetViews>
  <sheetFormatPr defaultColWidth="9.140625" defaultRowHeight="12.75" x14ac:dyDescent="0.2"/>
  <cols>
    <col min="1" max="8" width="4.85546875" style="6" customWidth="1"/>
    <col min="9" max="9" width="6.85546875" style="6" customWidth="1"/>
    <col min="10" max="11" width="4.85546875" style="6" customWidth="1"/>
    <col min="12" max="12" width="4.140625" style="6" customWidth="1"/>
    <col min="13" max="13" width="3.5703125" style="6" customWidth="1"/>
    <col min="14" max="14" width="3.7109375" style="6" customWidth="1"/>
    <col min="15" max="16" width="4.85546875" style="41" customWidth="1"/>
    <col min="17" max="17" width="10.140625" style="41" customWidth="1"/>
    <col min="18" max="19" width="4.85546875" style="6" customWidth="1"/>
    <col min="20" max="20" width="6.42578125" style="6" customWidth="1"/>
    <col min="21" max="21" width="14" style="6" customWidth="1"/>
    <col min="22" max="16384" width="9.140625" style="6"/>
  </cols>
  <sheetData>
    <row r="1" spans="1:23" hidden="1" x14ac:dyDescent="0.2">
      <c r="B1" s="26">
        <v>2026</v>
      </c>
      <c r="C1" s="26">
        <v>1</v>
      </c>
      <c r="D1" s="27">
        <v>46023</v>
      </c>
      <c r="E1" s="27">
        <v>46203</v>
      </c>
      <c r="F1" s="26" t="s">
        <v>5</v>
      </c>
      <c r="G1" s="26"/>
      <c r="N1" s="26" t="s">
        <v>335</v>
      </c>
    </row>
    <row r="2" spans="1:23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90" t="s">
        <v>336</v>
      </c>
      <c r="P2" s="90"/>
      <c r="Q2" s="90"/>
      <c r="R2" s="90"/>
      <c r="S2" s="90"/>
      <c r="T2" s="90"/>
    </row>
    <row r="3" spans="1:23" x14ac:dyDescent="0.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90" t="s">
        <v>20</v>
      </c>
      <c r="P3" s="90"/>
      <c r="Q3" s="90"/>
      <c r="R3" s="90"/>
      <c r="S3" s="90"/>
      <c r="T3" s="90"/>
    </row>
    <row r="4" spans="1:23" x14ac:dyDescent="0.2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90" t="s">
        <v>21</v>
      </c>
      <c r="P4" s="90"/>
      <c r="Q4" s="90"/>
      <c r="R4" s="90"/>
      <c r="S4" s="90"/>
      <c r="T4" s="90"/>
    </row>
    <row r="5" spans="1:23" ht="14.2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90" t="s">
        <v>22</v>
      </c>
      <c r="P5" s="90"/>
      <c r="Q5" s="90"/>
      <c r="R5" s="90"/>
      <c r="S5" s="90"/>
      <c r="T5" s="90"/>
    </row>
    <row r="6" spans="1:23" x14ac:dyDescent="0.2">
      <c r="A6" s="2"/>
      <c r="B6" s="2"/>
      <c r="C6" s="2"/>
      <c r="D6" s="2"/>
      <c r="E6" s="2"/>
      <c r="F6" s="2"/>
      <c r="G6" s="2"/>
      <c r="H6" s="2"/>
      <c r="O6" s="90"/>
      <c r="P6" s="90"/>
      <c r="Q6" s="90"/>
      <c r="R6" s="90"/>
      <c r="S6" s="90"/>
      <c r="T6" s="90"/>
    </row>
    <row r="7" spans="1:23" ht="20.25" x14ac:dyDescent="0.2">
      <c r="A7" s="109" t="s">
        <v>337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V7" s="11"/>
      <c r="W7" s="11"/>
    </row>
    <row r="8" spans="1:23" s="1" customFormat="1" ht="18.75" customHeight="1" x14ac:dyDescent="0.2">
      <c r="A8" s="90" t="s">
        <v>274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5"/>
      <c r="W8" s="19"/>
    </row>
    <row r="9" spans="1:23" s="1" customFormat="1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96" t="s">
        <v>4</v>
      </c>
      <c r="P9" s="96"/>
      <c r="Q9" s="96"/>
      <c r="R9" s="96"/>
      <c r="S9" s="96"/>
      <c r="T9" s="24" t="s">
        <v>5</v>
      </c>
      <c r="U9" s="5"/>
    </row>
    <row r="10" spans="1:23" x14ac:dyDescent="0.2">
      <c r="A10" s="81" t="s">
        <v>6</v>
      </c>
      <c r="B10" s="82"/>
      <c r="C10" s="82"/>
      <c r="D10" s="82"/>
      <c r="E10" s="82"/>
      <c r="F10" s="82"/>
      <c r="G10" s="82"/>
      <c r="H10" s="82"/>
      <c r="I10" s="83"/>
      <c r="J10" s="82" t="s">
        <v>7</v>
      </c>
      <c r="K10" s="83"/>
      <c r="L10" s="81" t="s">
        <v>8</v>
      </c>
      <c r="M10" s="82"/>
      <c r="N10" s="83"/>
      <c r="O10" s="81" t="s">
        <v>275</v>
      </c>
      <c r="P10" s="82"/>
      <c r="Q10" s="83"/>
      <c r="R10" s="81" t="s">
        <v>276</v>
      </c>
      <c r="S10" s="126"/>
      <c r="T10" s="127"/>
    </row>
    <row r="11" spans="1:23" x14ac:dyDescent="0.2">
      <c r="A11" s="81">
        <v>1</v>
      </c>
      <c r="B11" s="82"/>
      <c r="C11" s="82"/>
      <c r="D11" s="82"/>
      <c r="E11" s="82"/>
      <c r="F11" s="82"/>
      <c r="G11" s="82"/>
      <c r="H11" s="82"/>
      <c r="I11" s="83"/>
      <c r="J11" s="81">
        <v>2</v>
      </c>
      <c r="K11" s="83"/>
      <c r="L11" s="81">
        <v>3</v>
      </c>
      <c r="M11" s="82"/>
      <c r="N11" s="83"/>
      <c r="O11" s="81">
        <v>4</v>
      </c>
      <c r="P11" s="82"/>
      <c r="Q11" s="83"/>
      <c r="R11" s="81">
        <v>5</v>
      </c>
      <c r="S11" s="82"/>
      <c r="T11" s="83"/>
    </row>
    <row r="12" spans="1:23" ht="18" customHeight="1" x14ac:dyDescent="0.2">
      <c r="A12" s="112" t="s">
        <v>338</v>
      </c>
      <c r="B12" s="62"/>
      <c r="C12" s="62"/>
      <c r="D12" s="62"/>
      <c r="E12" s="62"/>
      <c r="F12" s="62"/>
      <c r="G12" s="62"/>
      <c r="H12" s="62"/>
      <c r="I12" s="63"/>
      <c r="J12" s="113" t="s">
        <v>280</v>
      </c>
      <c r="K12" s="66"/>
      <c r="L12" s="114"/>
      <c r="M12" s="65"/>
      <c r="N12" s="66"/>
      <c r="O12" s="115">
        <f>O14-O13</f>
        <v>39648487368.629997</v>
      </c>
      <c r="P12" s="116"/>
      <c r="Q12" s="117"/>
      <c r="R12" s="123">
        <v>79249834714</v>
      </c>
      <c r="S12" s="124"/>
      <c r="T12" s="125"/>
      <c r="U12" s="25">
        <f>O12-'[2]GIÁ THÀNH'!$F$5</f>
        <v>0</v>
      </c>
    </row>
    <row r="13" spans="1:23" ht="18" customHeight="1" x14ac:dyDescent="0.2">
      <c r="A13" s="112" t="s">
        <v>339</v>
      </c>
      <c r="B13" s="62"/>
      <c r="C13" s="62"/>
      <c r="D13" s="62"/>
      <c r="E13" s="62"/>
      <c r="F13" s="62"/>
      <c r="G13" s="62"/>
      <c r="H13" s="62"/>
      <c r="I13" s="63"/>
      <c r="J13" s="113" t="s">
        <v>282</v>
      </c>
      <c r="K13" s="66"/>
      <c r="L13" s="114"/>
      <c r="M13" s="65"/>
      <c r="N13" s="66"/>
      <c r="O13" s="115">
        <v>0</v>
      </c>
      <c r="P13" s="116"/>
      <c r="Q13" s="117"/>
      <c r="R13" s="118">
        <v>0</v>
      </c>
      <c r="S13" s="71"/>
      <c r="T13" s="72"/>
    </row>
    <row r="14" spans="1:23" ht="18" customHeight="1" x14ac:dyDescent="0.2">
      <c r="A14" s="112" t="s">
        <v>340</v>
      </c>
      <c r="B14" s="62"/>
      <c r="C14" s="62"/>
      <c r="D14" s="62"/>
      <c r="E14" s="62"/>
      <c r="F14" s="62"/>
      <c r="G14" s="62"/>
      <c r="H14" s="62"/>
      <c r="I14" s="63"/>
      <c r="J14" s="113" t="s">
        <v>341</v>
      </c>
      <c r="K14" s="66"/>
      <c r="L14" s="114"/>
      <c r="M14" s="65"/>
      <c r="N14" s="66"/>
      <c r="O14" s="115">
        <v>39648487368.629997</v>
      </c>
      <c r="P14" s="116"/>
      <c r="Q14" s="117"/>
      <c r="R14" s="120">
        <v>79249834714</v>
      </c>
      <c r="S14" s="121"/>
      <c r="T14" s="122"/>
    </row>
    <row r="15" spans="1:23" ht="18" customHeight="1" x14ac:dyDescent="0.2">
      <c r="A15" s="112" t="s">
        <v>342</v>
      </c>
      <c r="B15" s="62"/>
      <c r="C15" s="62"/>
      <c r="D15" s="62"/>
      <c r="E15" s="62"/>
      <c r="F15" s="62"/>
      <c r="G15" s="62"/>
      <c r="H15" s="62"/>
      <c r="I15" s="63"/>
      <c r="J15" s="113" t="s">
        <v>343</v>
      </c>
      <c r="K15" s="66"/>
      <c r="L15" s="114"/>
      <c r="M15" s="65"/>
      <c r="N15" s="66"/>
      <c r="O15" s="115">
        <v>19515477254</v>
      </c>
      <c r="P15" s="116"/>
      <c r="Q15" s="117"/>
      <c r="R15" s="118">
        <v>40238303426</v>
      </c>
      <c r="S15" s="71"/>
      <c r="T15" s="72"/>
    </row>
    <row r="16" spans="1:23" ht="18" customHeight="1" x14ac:dyDescent="0.2">
      <c r="A16" s="112" t="s">
        <v>344</v>
      </c>
      <c r="B16" s="62"/>
      <c r="C16" s="62"/>
      <c r="D16" s="62"/>
      <c r="E16" s="62"/>
      <c r="F16" s="62"/>
      <c r="G16" s="62"/>
      <c r="H16" s="62"/>
      <c r="I16" s="63"/>
      <c r="J16" s="113" t="s">
        <v>294</v>
      </c>
      <c r="K16" s="66"/>
      <c r="L16" s="114"/>
      <c r="M16" s="65"/>
      <c r="N16" s="66"/>
      <c r="O16" s="115">
        <f>O14-O15</f>
        <v>20133010114.629997</v>
      </c>
      <c r="P16" s="116"/>
      <c r="Q16" s="117"/>
      <c r="R16" s="115">
        <f>R14-R15</f>
        <v>39011531288</v>
      </c>
      <c r="S16" s="116"/>
      <c r="T16" s="117"/>
    </row>
    <row r="17" spans="1:20" ht="18" customHeight="1" x14ac:dyDescent="0.2">
      <c r="A17" s="112" t="s">
        <v>345</v>
      </c>
      <c r="B17" s="62"/>
      <c r="C17" s="62"/>
      <c r="D17" s="62"/>
      <c r="E17" s="62"/>
      <c r="F17" s="62"/>
      <c r="G17" s="62"/>
      <c r="H17" s="62"/>
      <c r="I17" s="63"/>
      <c r="J17" s="113" t="s">
        <v>297</v>
      </c>
      <c r="K17" s="66"/>
      <c r="L17" s="114"/>
      <c r="M17" s="65"/>
      <c r="N17" s="66"/>
      <c r="O17" s="115"/>
      <c r="P17" s="116"/>
      <c r="Q17" s="117"/>
      <c r="R17" s="118">
        <v>0</v>
      </c>
      <c r="S17" s="71"/>
      <c r="T17" s="72"/>
    </row>
    <row r="18" spans="1:20" ht="18" customHeight="1" x14ac:dyDescent="0.2">
      <c r="A18" s="112" t="s">
        <v>346</v>
      </c>
      <c r="B18" s="62"/>
      <c r="C18" s="62"/>
      <c r="D18" s="62"/>
      <c r="E18" s="62"/>
      <c r="F18" s="62"/>
      <c r="G18" s="62"/>
      <c r="H18" s="62"/>
      <c r="I18" s="63"/>
      <c r="J18" s="113" t="s">
        <v>299</v>
      </c>
      <c r="K18" s="66"/>
      <c r="L18" s="114"/>
      <c r="M18" s="65"/>
      <c r="N18" s="66"/>
      <c r="O18" s="115">
        <v>663014682</v>
      </c>
      <c r="P18" s="116"/>
      <c r="Q18" s="117"/>
      <c r="R18" s="118">
        <v>1438639721</v>
      </c>
      <c r="S18" s="71"/>
      <c r="T18" s="72"/>
    </row>
    <row r="19" spans="1:20" ht="18" customHeight="1" x14ac:dyDescent="0.2">
      <c r="A19" s="112" t="s">
        <v>347</v>
      </c>
      <c r="B19" s="62"/>
      <c r="C19" s="62"/>
      <c r="D19" s="62"/>
      <c r="E19" s="62"/>
      <c r="F19" s="62"/>
      <c r="G19" s="62"/>
      <c r="H19" s="62"/>
      <c r="I19" s="63"/>
      <c r="J19" s="113" t="s">
        <v>301</v>
      </c>
      <c r="K19" s="66"/>
      <c r="L19" s="114"/>
      <c r="M19" s="65"/>
      <c r="N19" s="66"/>
      <c r="O19" s="115">
        <v>0</v>
      </c>
      <c r="P19" s="116"/>
      <c r="Q19" s="117"/>
      <c r="R19" s="118">
        <v>0</v>
      </c>
      <c r="S19" s="71"/>
      <c r="T19" s="72"/>
    </row>
    <row r="20" spans="1:20" ht="18" customHeight="1" x14ac:dyDescent="0.2">
      <c r="A20" s="61" t="s">
        <v>348</v>
      </c>
      <c r="B20" s="62"/>
      <c r="C20" s="62"/>
      <c r="D20" s="62"/>
      <c r="E20" s="62"/>
      <c r="F20" s="62"/>
      <c r="G20" s="62"/>
      <c r="H20" s="62"/>
      <c r="I20" s="63"/>
      <c r="J20" s="65" t="s">
        <v>303</v>
      </c>
      <c r="K20" s="66"/>
      <c r="L20" s="68"/>
      <c r="M20" s="65"/>
      <c r="N20" s="66"/>
      <c r="O20" s="119">
        <v>0</v>
      </c>
      <c r="P20" s="116"/>
      <c r="Q20" s="117"/>
      <c r="R20" s="70">
        <v>0</v>
      </c>
      <c r="S20" s="71"/>
      <c r="T20" s="72"/>
    </row>
    <row r="21" spans="1:20" ht="18" customHeight="1" x14ac:dyDescent="0.2">
      <c r="A21" s="112" t="s">
        <v>349</v>
      </c>
      <c r="B21" s="62"/>
      <c r="C21" s="62"/>
      <c r="D21" s="62"/>
      <c r="E21" s="62"/>
      <c r="F21" s="62"/>
      <c r="G21" s="62"/>
      <c r="H21" s="62"/>
      <c r="I21" s="63"/>
      <c r="J21" s="113" t="s">
        <v>305</v>
      </c>
      <c r="K21" s="66"/>
      <c r="L21" s="114"/>
      <c r="M21" s="65"/>
      <c r="N21" s="66"/>
      <c r="O21" s="115">
        <v>0</v>
      </c>
      <c r="P21" s="116"/>
      <c r="Q21" s="117"/>
      <c r="R21" s="118">
        <v>0</v>
      </c>
      <c r="S21" s="71"/>
      <c r="T21" s="72"/>
    </row>
    <row r="22" spans="1:20" ht="18" customHeight="1" x14ac:dyDescent="0.2">
      <c r="A22" s="112" t="s">
        <v>350</v>
      </c>
      <c r="B22" s="62"/>
      <c r="C22" s="62"/>
      <c r="D22" s="62"/>
      <c r="E22" s="62"/>
      <c r="F22" s="62"/>
      <c r="G22" s="62"/>
      <c r="H22" s="62"/>
      <c r="I22" s="63"/>
      <c r="J22" s="113" t="s">
        <v>307</v>
      </c>
      <c r="K22" s="66"/>
      <c r="L22" s="114"/>
      <c r="M22" s="65"/>
      <c r="N22" s="66"/>
      <c r="O22" s="115">
        <v>3773871690</v>
      </c>
      <c r="P22" s="116"/>
      <c r="Q22" s="117"/>
      <c r="R22" s="118">
        <v>9271851026</v>
      </c>
      <c r="S22" s="71"/>
      <c r="T22" s="72"/>
    </row>
    <row r="23" spans="1:20" ht="18" customHeight="1" x14ac:dyDescent="0.2">
      <c r="A23" s="112" t="s">
        <v>351</v>
      </c>
      <c r="B23" s="62"/>
      <c r="C23" s="62"/>
      <c r="D23" s="62"/>
      <c r="E23" s="62"/>
      <c r="F23" s="62"/>
      <c r="G23" s="62"/>
      <c r="H23" s="62"/>
      <c r="I23" s="63"/>
      <c r="J23" s="113" t="s">
        <v>311</v>
      </c>
      <c r="K23" s="66"/>
      <c r="L23" s="114"/>
      <c r="M23" s="65"/>
      <c r="N23" s="66"/>
      <c r="O23" s="115">
        <f>O16+O17+O18-O19-O21-O22</f>
        <v>17022153106.629997</v>
      </c>
      <c r="P23" s="116"/>
      <c r="Q23" s="117"/>
      <c r="R23" s="115">
        <f>R16+R17+R18-R19-R21-R22</f>
        <v>31178319983</v>
      </c>
      <c r="S23" s="116"/>
      <c r="T23" s="117"/>
    </row>
    <row r="24" spans="1:20" ht="18" customHeight="1" x14ac:dyDescent="0.2">
      <c r="A24" s="112" t="s">
        <v>352</v>
      </c>
      <c r="B24" s="62"/>
      <c r="C24" s="62"/>
      <c r="D24" s="62"/>
      <c r="E24" s="62"/>
      <c r="F24" s="62"/>
      <c r="G24" s="62"/>
      <c r="H24" s="62"/>
      <c r="I24" s="63"/>
      <c r="J24" s="113" t="s">
        <v>314</v>
      </c>
      <c r="K24" s="66"/>
      <c r="L24" s="114"/>
      <c r="M24" s="65"/>
      <c r="N24" s="66"/>
      <c r="O24" s="115">
        <v>23087132</v>
      </c>
      <c r="P24" s="116"/>
      <c r="Q24" s="117"/>
      <c r="R24" s="118">
        <v>124418796</v>
      </c>
      <c r="S24" s="71"/>
      <c r="T24" s="72"/>
    </row>
    <row r="25" spans="1:20" ht="18" customHeight="1" x14ac:dyDescent="0.2">
      <c r="A25" s="112" t="s">
        <v>353</v>
      </c>
      <c r="B25" s="62"/>
      <c r="C25" s="62"/>
      <c r="D25" s="62"/>
      <c r="E25" s="62"/>
      <c r="F25" s="62"/>
      <c r="G25" s="62"/>
      <c r="H25" s="62"/>
      <c r="I25" s="63"/>
      <c r="J25" s="113" t="s">
        <v>316</v>
      </c>
      <c r="K25" s="66"/>
      <c r="L25" s="114"/>
      <c r="M25" s="65"/>
      <c r="N25" s="66"/>
      <c r="O25" s="115">
        <v>0</v>
      </c>
      <c r="P25" s="116"/>
      <c r="Q25" s="117"/>
      <c r="R25" s="118">
        <v>77138410</v>
      </c>
      <c r="S25" s="71"/>
      <c r="T25" s="72"/>
    </row>
    <row r="26" spans="1:20" ht="18" customHeight="1" x14ac:dyDescent="0.2">
      <c r="A26" s="112" t="s">
        <v>354</v>
      </c>
      <c r="B26" s="62"/>
      <c r="C26" s="62"/>
      <c r="D26" s="62"/>
      <c r="E26" s="62"/>
      <c r="F26" s="62"/>
      <c r="G26" s="62"/>
      <c r="H26" s="62"/>
      <c r="I26" s="63"/>
      <c r="J26" s="113" t="s">
        <v>326</v>
      </c>
      <c r="K26" s="66"/>
      <c r="L26" s="114"/>
      <c r="M26" s="65"/>
      <c r="N26" s="66"/>
      <c r="O26" s="115">
        <v>23087132</v>
      </c>
      <c r="P26" s="116"/>
      <c r="Q26" s="117"/>
      <c r="R26" s="115">
        <f>R24-R25</f>
        <v>47280386</v>
      </c>
      <c r="S26" s="116"/>
      <c r="T26" s="117"/>
    </row>
    <row r="27" spans="1:20" ht="18" customHeight="1" x14ac:dyDescent="0.2">
      <c r="A27" s="112" t="s">
        <v>355</v>
      </c>
      <c r="B27" s="62"/>
      <c r="C27" s="62"/>
      <c r="D27" s="62"/>
      <c r="E27" s="62"/>
      <c r="F27" s="62"/>
      <c r="G27" s="62"/>
      <c r="H27" s="62"/>
      <c r="I27" s="63"/>
      <c r="J27" s="113" t="s">
        <v>328</v>
      </c>
      <c r="K27" s="66"/>
      <c r="L27" s="114"/>
      <c r="M27" s="65"/>
      <c r="N27" s="66"/>
      <c r="O27" s="115">
        <f>O23+O26</f>
        <v>17045240238.629997</v>
      </c>
      <c r="P27" s="116"/>
      <c r="Q27" s="117"/>
      <c r="R27" s="115">
        <f>R23+R26</f>
        <v>31225600369</v>
      </c>
      <c r="S27" s="116"/>
      <c r="T27" s="117"/>
    </row>
    <row r="28" spans="1:20" ht="18" customHeight="1" x14ac:dyDescent="0.2">
      <c r="A28" s="112" t="s">
        <v>356</v>
      </c>
      <c r="B28" s="62"/>
      <c r="C28" s="62"/>
      <c r="D28" s="62"/>
      <c r="E28" s="62"/>
      <c r="F28" s="62"/>
      <c r="G28" s="62"/>
      <c r="H28" s="62"/>
      <c r="I28" s="63"/>
      <c r="J28" s="113" t="s">
        <v>357</v>
      </c>
      <c r="K28" s="66"/>
      <c r="L28" s="114"/>
      <c r="M28" s="65"/>
      <c r="N28" s="66"/>
      <c r="O28" s="115">
        <v>942330920</v>
      </c>
      <c r="P28" s="116"/>
      <c r="Q28" s="117"/>
      <c r="R28" s="118">
        <v>1721515764</v>
      </c>
      <c r="S28" s="71"/>
      <c r="T28" s="72"/>
    </row>
    <row r="29" spans="1:20" ht="18" customHeight="1" x14ac:dyDescent="0.2">
      <c r="A29" s="112" t="s">
        <v>358</v>
      </c>
      <c r="B29" s="62"/>
      <c r="C29" s="62"/>
      <c r="D29" s="62"/>
      <c r="E29" s="62"/>
      <c r="F29" s="62"/>
      <c r="G29" s="62"/>
      <c r="H29" s="62"/>
      <c r="I29" s="63"/>
      <c r="J29" s="113" t="s">
        <v>359</v>
      </c>
      <c r="K29" s="66"/>
      <c r="L29" s="114"/>
      <c r="M29" s="65"/>
      <c r="N29" s="66"/>
      <c r="O29" s="115">
        <v>0</v>
      </c>
      <c r="P29" s="116"/>
      <c r="Q29" s="117"/>
      <c r="R29" s="118">
        <v>0</v>
      </c>
      <c r="S29" s="71"/>
      <c r="T29" s="72"/>
    </row>
    <row r="30" spans="1:20" ht="18" customHeight="1" x14ac:dyDescent="0.2">
      <c r="A30" s="112" t="s">
        <v>360</v>
      </c>
      <c r="B30" s="62"/>
      <c r="C30" s="62"/>
      <c r="D30" s="62"/>
      <c r="E30" s="62"/>
      <c r="F30" s="62"/>
      <c r="G30" s="62"/>
      <c r="H30" s="62"/>
      <c r="I30" s="63"/>
      <c r="J30" s="113" t="s">
        <v>330</v>
      </c>
      <c r="K30" s="66"/>
      <c r="L30" s="114"/>
      <c r="M30" s="65"/>
      <c r="N30" s="66"/>
      <c r="O30" s="115">
        <f>O27-O28-O29</f>
        <v>16102909318.629997</v>
      </c>
      <c r="P30" s="116"/>
      <c r="Q30" s="117"/>
      <c r="R30" s="115">
        <f>R27-R28-R29</f>
        <v>29504084605</v>
      </c>
      <c r="S30" s="116"/>
      <c r="T30" s="117"/>
    </row>
    <row r="31" spans="1:20" ht="18" customHeight="1" x14ac:dyDescent="0.2">
      <c r="A31" s="112" t="s">
        <v>361</v>
      </c>
      <c r="B31" s="62"/>
      <c r="C31" s="62"/>
      <c r="D31" s="62"/>
      <c r="E31" s="62"/>
      <c r="F31" s="62"/>
      <c r="G31" s="62"/>
      <c r="H31" s="62"/>
      <c r="I31" s="63"/>
      <c r="J31" s="113" t="s">
        <v>334</v>
      </c>
      <c r="K31" s="66"/>
      <c r="L31" s="114"/>
      <c r="M31" s="65"/>
      <c r="N31" s="66"/>
      <c r="O31" s="115">
        <v>0</v>
      </c>
      <c r="P31" s="116"/>
      <c r="Q31" s="117"/>
      <c r="R31" s="118">
        <v>0</v>
      </c>
      <c r="S31" s="71"/>
      <c r="T31" s="72"/>
    </row>
    <row r="32" spans="1:20" ht="18" customHeight="1" x14ac:dyDescent="0.2">
      <c r="A32" s="112" t="s">
        <v>362</v>
      </c>
      <c r="B32" s="62"/>
      <c r="C32" s="62"/>
      <c r="D32" s="62"/>
      <c r="E32" s="62"/>
      <c r="F32" s="62"/>
      <c r="G32" s="62"/>
      <c r="H32" s="62"/>
      <c r="I32" s="63"/>
      <c r="J32" s="113" t="s">
        <v>363</v>
      </c>
      <c r="K32" s="66"/>
      <c r="L32" s="114"/>
      <c r="M32" s="65"/>
      <c r="N32" s="66"/>
      <c r="O32" s="115">
        <v>0</v>
      </c>
      <c r="P32" s="116"/>
      <c r="Q32" s="117"/>
      <c r="R32" s="118">
        <v>0</v>
      </c>
      <c r="S32" s="71"/>
      <c r="T32" s="72"/>
    </row>
    <row r="33" spans="1:20" hidden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5"/>
      <c r="K33" s="15"/>
      <c r="L33" s="15"/>
      <c r="M33" s="15"/>
      <c r="N33" s="15"/>
      <c r="O33" s="42"/>
      <c r="P33" s="42"/>
      <c r="Q33" s="42"/>
      <c r="R33" s="16"/>
      <c r="S33" s="16"/>
      <c r="T33" s="16"/>
    </row>
    <row r="34" spans="1:20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8"/>
      <c r="M34" s="18"/>
      <c r="N34" s="18"/>
      <c r="O34" s="43"/>
      <c r="P34" s="44"/>
      <c r="Q34" s="44"/>
      <c r="R34" s="17"/>
      <c r="S34" s="17"/>
      <c r="T34" s="17"/>
    </row>
    <row r="35" spans="1:20" s="1" customForma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94" t="s">
        <v>10</v>
      </c>
      <c r="N35" s="94"/>
      <c r="O35" s="94"/>
      <c r="P35" s="94"/>
      <c r="Q35" s="94"/>
      <c r="R35" s="94"/>
      <c r="S35" s="94"/>
      <c r="T35" s="94"/>
    </row>
    <row r="36" spans="1:20" s="1" customFormat="1" x14ac:dyDescent="0.2">
      <c r="A36" s="89" t="s">
        <v>11</v>
      </c>
      <c r="B36" s="89"/>
      <c r="C36" s="89"/>
      <c r="D36" s="89"/>
      <c r="E36" s="89"/>
      <c r="F36" s="9"/>
      <c r="G36" s="9"/>
      <c r="H36" s="89" t="s">
        <v>12</v>
      </c>
      <c r="I36" s="89"/>
      <c r="J36" s="89"/>
      <c r="K36" s="89"/>
      <c r="L36" s="89"/>
      <c r="M36" s="89"/>
      <c r="O36" s="45"/>
      <c r="P36" s="93" t="s">
        <v>13</v>
      </c>
      <c r="Q36" s="93"/>
      <c r="R36" s="93"/>
      <c r="S36" s="93"/>
      <c r="T36" s="93"/>
    </row>
    <row r="37" spans="1:20" s="1" customFormat="1" x14ac:dyDescent="0.2">
      <c r="A37" s="95" t="s">
        <v>14</v>
      </c>
      <c r="B37" s="95"/>
      <c r="C37" s="95"/>
      <c r="D37" s="95"/>
      <c r="E37" s="95"/>
      <c r="F37" s="12"/>
      <c r="G37" s="12"/>
      <c r="H37" s="95" t="s">
        <v>14</v>
      </c>
      <c r="I37" s="95"/>
      <c r="J37" s="95"/>
      <c r="K37" s="95"/>
      <c r="L37" s="95"/>
      <c r="M37" s="95"/>
      <c r="O37" s="45"/>
      <c r="P37" s="95" t="s">
        <v>14</v>
      </c>
      <c r="Q37" s="95"/>
      <c r="R37" s="95"/>
      <c r="S37" s="95"/>
      <c r="T37" s="95"/>
    </row>
    <row r="38" spans="1:20" s="2" customForma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46"/>
      <c r="P38" s="47"/>
      <c r="Q38" s="47"/>
      <c r="R38" s="7"/>
      <c r="S38" s="7"/>
      <c r="T38" s="7"/>
    </row>
    <row r="39" spans="1:20" s="1" customFormat="1" x14ac:dyDescent="0.2">
      <c r="A39" s="89"/>
      <c r="B39" s="89"/>
      <c r="C39" s="89"/>
      <c r="D39" s="89"/>
      <c r="E39" s="89"/>
      <c r="F39" s="10"/>
      <c r="G39" s="10"/>
      <c r="H39" s="89"/>
      <c r="I39" s="89"/>
      <c r="J39" s="89"/>
      <c r="K39" s="89"/>
      <c r="L39" s="89"/>
      <c r="M39" s="89"/>
      <c r="O39" s="45"/>
      <c r="P39" s="93" t="s">
        <v>17</v>
      </c>
      <c r="Q39" s="93"/>
      <c r="R39" s="93"/>
      <c r="S39" s="93"/>
      <c r="T39" s="93"/>
    </row>
    <row r="41" spans="1:20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48"/>
      <c r="P41" s="48"/>
      <c r="Q41" s="48"/>
      <c r="R41" s="3"/>
      <c r="S41" s="3"/>
      <c r="T41" s="3"/>
    </row>
  </sheetData>
  <mergeCells count="133">
    <mergeCell ref="A8:T8"/>
    <mergeCell ref="O9:S9"/>
    <mergeCell ref="A10:I10"/>
    <mergeCell ref="J10:K10"/>
    <mergeCell ref="L10:N10"/>
    <mergeCell ref="O10:Q10"/>
    <mergeCell ref="R10:T10"/>
    <mergeCell ref="O2:T2"/>
    <mergeCell ref="O3:T3"/>
    <mergeCell ref="O4:T4"/>
    <mergeCell ref="O5:T5"/>
    <mergeCell ref="O6:T6"/>
    <mergeCell ref="A7:T7"/>
    <mergeCell ref="A11:I11"/>
    <mergeCell ref="J11:K11"/>
    <mergeCell ref="L11:N11"/>
    <mergeCell ref="O11:Q11"/>
    <mergeCell ref="R11:T11"/>
    <mergeCell ref="A12:I12"/>
    <mergeCell ref="J12:K12"/>
    <mergeCell ref="L12:N12"/>
    <mergeCell ref="O12:Q12"/>
    <mergeCell ref="R12:T12"/>
    <mergeCell ref="A13:I13"/>
    <mergeCell ref="J13:K13"/>
    <mergeCell ref="L13:N13"/>
    <mergeCell ref="O13:Q13"/>
    <mergeCell ref="R13:T13"/>
    <mergeCell ref="A14:I14"/>
    <mergeCell ref="J14:K14"/>
    <mergeCell ref="L14:N14"/>
    <mergeCell ref="O14:Q14"/>
    <mergeCell ref="R14:T14"/>
    <mergeCell ref="A15:I15"/>
    <mergeCell ref="J15:K15"/>
    <mergeCell ref="L15:N15"/>
    <mergeCell ref="O15:Q15"/>
    <mergeCell ref="R15:T15"/>
    <mergeCell ref="A16:I16"/>
    <mergeCell ref="J16:K16"/>
    <mergeCell ref="L16:N16"/>
    <mergeCell ref="O16:Q16"/>
    <mergeCell ref="R16:T16"/>
    <mergeCell ref="A17:I17"/>
    <mergeCell ref="J17:K17"/>
    <mergeCell ref="L17:N17"/>
    <mergeCell ref="O17:Q17"/>
    <mergeCell ref="R17:T17"/>
    <mergeCell ref="A18:I18"/>
    <mergeCell ref="J18:K18"/>
    <mergeCell ref="L18:N18"/>
    <mergeCell ref="O18:Q18"/>
    <mergeCell ref="R18:T18"/>
    <mergeCell ref="A19:I19"/>
    <mergeCell ref="J19:K19"/>
    <mergeCell ref="L19:N19"/>
    <mergeCell ref="O19:Q19"/>
    <mergeCell ref="R19:T19"/>
    <mergeCell ref="A20:I20"/>
    <mergeCell ref="J20:K20"/>
    <mergeCell ref="L20:N20"/>
    <mergeCell ref="O20:Q20"/>
    <mergeCell ref="R20:T20"/>
    <mergeCell ref="A21:I21"/>
    <mergeCell ref="J21:K21"/>
    <mergeCell ref="L21:N21"/>
    <mergeCell ref="O21:Q21"/>
    <mergeCell ref="R21:T21"/>
    <mergeCell ref="A22:I22"/>
    <mergeCell ref="J22:K22"/>
    <mergeCell ref="L22:N22"/>
    <mergeCell ref="O22:Q22"/>
    <mergeCell ref="R22:T22"/>
    <mergeCell ref="A23:I23"/>
    <mergeCell ref="J23:K23"/>
    <mergeCell ref="L23:N23"/>
    <mergeCell ref="O23:Q23"/>
    <mergeCell ref="R23:T23"/>
    <mergeCell ref="A24:I24"/>
    <mergeCell ref="J24:K24"/>
    <mergeCell ref="L24:N24"/>
    <mergeCell ref="O24:Q24"/>
    <mergeCell ref="R24:T24"/>
    <mergeCell ref="A25:I25"/>
    <mergeCell ref="J25:K25"/>
    <mergeCell ref="L25:N25"/>
    <mergeCell ref="O25:Q25"/>
    <mergeCell ref="R25:T25"/>
    <mergeCell ref="A26:I26"/>
    <mergeCell ref="J26:K26"/>
    <mergeCell ref="L26:N26"/>
    <mergeCell ref="O26:Q26"/>
    <mergeCell ref="R26:T26"/>
    <mergeCell ref="A27:I27"/>
    <mergeCell ref="J27:K27"/>
    <mergeCell ref="L27:N27"/>
    <mergeCell ref="O27:Q27"/>
    <mergeCell ref="R27:T27"/>
    <mergeCell ref="A28:I28"/>
    <mergeCell ref="J28:K28"/>
    <mergeCell ref="L28:N28"/>
    <mergeCell ref="O28:Q28"/>
    <mergeCell ref="R28:T28"/>
    <mergeCell ref="A29:I29"/>
    <mergeCell ref="J29:K29"/>
    <mergeCell ref="L29:N29"/>
    <mergeCell ref="O29:Q29"/>
    <mergeCell ref="R29:T29"/>
    <mergeCell ref="A30:I30"/>
    <mergeCell ref="J30:K30"/>
    <mergeCell ref="L30:N30"/>
    <mergeCell ref="O30:Q30"/>
    <mergeCell ref="R30:T30"/>
    <mergeCell ref="A31:I31"/>
    <mergeCell ref="J31:K31"/>
    <mergeCell ref="L31:N31"/>
    <mergeCell ref="O31:Q31"/>
    <mergeCell ref="R31:T31"/>
    <mergeCell ref="A32:I32"/>
    <mergeCell ref="J32:K32"/>
    <mergeCell ref="L32:N32"/>
    <mergeCell ref="O32:Q32"/>
    <mergeCell ref="R32:T32"/>
    <mergeCell ref="A39:E39"/>
    <mergeCell ref="H39:M39"/>
    <mergeCell ref="P39:T39"/>
    <mergeCell ref="M35:T35"/>
    <mergeCell ref="A36:E36"/>
    <mergeCell ref="H36:M36"/>
    <mergeCell ref="P36:T36"/>
    <mergeCell ref="A37:E37"/>
    <mergeCell ref="H37:M37"/>
    <mergeCell ref="P37:T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1"/>
  <sheetViews>
    <sheetView topLeftCell="A2" zoomScale="85" zoomScaleNormal="85" workbookViewId="0">
      <selection activeCell="J155" sqref="J155"/>
    </sheetView>
  </sheetViews>
  <sheetFormatPr defaultColWidth="9.140625" defaultRowHeight="12.75" x14ac:dyDescent="0.2"/>
  <cols>
    <col min="1" max="29" width="4.85546875" style="1" customWidth="1"/>
    <col min="30" max="30" width="0" style="1" hidden="1" customWidth="1"/>
    <col min="31" max="16384" width="9.140625" style="1"/>
  </cols>
  <sheetData>
    <row r="1" spans="1:30" hidden="1" x14ac:dyDescent="0.2">
      <c r="A1" s="49"/>
      <c r="B1" s="26">
        <v>2026</v>
      </c>
      <c r="C1" s="26">
        <v>1</v>
      </c>
      <c r="D1" s="27">
        <v>46023</v>
      </c>
      <c r="E1" s="27">
        <v>46203</v>
      </c>
      <c r="F1" s="26"/>
      <c r="G1" s="26"/>
      <c r="H1" s="26"/>
      <c r="I1" s="26"/>
      <c r="J1" s="26"/>
      <c r="K1" s="26"/>
      <c r="L1" s="26"/>
      <c r="M1" s="26"/>
      <c r="N1" s="26" t="s">
        <v>364</v>
      </c>
      <c r="O1" s="26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</row>
    <row r="2" spans="1:30" ht="15.6" customHeight="1" x14ac:dyDescent="0.2">
      <c r="A2" s="4"/>
      <c r="B2" s="4"/>
      <c r="C2" s="4"/>
      <c r="D2" s="4"/>
      <c r="E2" s="50"/>
      <c r="F2" s="50"/>
      <c r="G2" s="39"/>
      <c r="H2" s="39"/>
      <c r="I2" s="39"/>
      <c r="N2" s="39"/>
      <c r="O2" s="39"/>
      <c r="P2" s="21"/>
      <c r="Q2" s="21"/>
      <c r="R2" s="21"/>
      <c r="S2" s="21"/>
      <c r="T2" s="21"/>
      <c r="U2" s="49"/>
      <c r="V2" s="49"/>
      <c r="W2" s="142" t="s">
        <v>365</v>
      </c>
      <c r="X2" s="142"/>
      <c r="Y2" s="142"/>
      <c r="Z2" s="142"/>
      <c r="AA2" s="142"/>
      <c r="AB2" s="142"/>
      <c r="AC2" s="142"/>
      <c r="AD2" s="39"/>
    </row>
    <row r="3" spans="1:30" ht="15.6" customHeight="1" x14ac:dyDescent="0.2">
      <c r="A3" s="1" t="s">
        <v>1</v>
      </c>
      <c r="E3" s="39"/>
      <c r="F3" s="39"/>
      <c r="G3" s="39"/>
      <c r="H3" s="50"/>
      <c r="I3" s="51"/>
      <c r="N3" s="39"/>
      <c r="O3" s="39"/>
      <c r="P3" s="52"/>
      <c r="Q3" s="53"/>
      <c r="R3" s="49"/>
      <c r="S3" s="49"/>
      <c r="T3" s="21"/>
      <c r="U3" s="49"/>
      <c r="V3" s="49"/>
      <c r="W3" s="143" t="s">
        <v>20</v>
      </c>
      <c r="X3" s="143"/>
      <c r="Y3" s="143"/>
      <c r="Z3" s="143"/>
      <c r="AA3" s="143"/>
      <c r="AB3" s="143"/>
      <c r="AC3" s="143"/>
      <c r="AD3" s="39"/>
    </row>
    <row r="4" spans="1:30" ht="15.6" customHeight="1" x14ac:dyDescent="0.2">
      <c r="A4" s="3" t="s">
        <v>2</v>
      </c>
      <c r="B4" s="3"/>
      <c r="C4" s="3"/>
      <c r="D4" s="3"/>
      <c r="E4" s="40"/>
      <c r="F4" s="40"/>
      <c r="G4" s="39"/>
      <c r="H4" s="39"/>
      <c r="I4" s="39"/>
      <c r="N4" s="39"/>
      <c r="O4" s="39"/>
      <c r="P4" s="49"/>
      <c r="Q4" s="49"/>
      <c r="R4" s="49"/>
      <c r="S4" s="49"/>
      <c r="T4" s="21"/>
      <c r="U4" s="49"/>
      <c r="V4" s="49"/>
      <c r="W4" s="143" t="s">
        <v>366</v>
      </c>
      <c r="X4" s="143"/>
      <c r="Y4" s="143"/>
      <c r="Z4" s="143"/>
      <c r="AA4" s="143"/>
      <c r="AB4" s="143"/>
      <c r="AC4" s="143"/>
      <c r="AD4" s="39"/>
    </row>
    <row r="5" spans="1:30" ht="15.6" customHeight="1" x14ac:dyDescent="0.2">
      <c r="A5" s="3"/>
      <c r="B5" s="3"/>
      <c r="C5" s="3"/>
      <c r="D5" s="3"/>
      <c r="E5" s="40"/>
      <c r="F5" s="40"/>
      <c r="G5" s="40"/>
      <c r="H5" s="40"/>
      <c r="I5" s="40"/>
      <c r="J5" s="40"/>
      <c r="K5" s="40"/>
      <c r="L5" s="40"/>
      <c r="M5" s="40"/>
      <c r="N5" s="39"/>
      <c r="O5" s="39"/>
      <c r="P5" s="21"/>
      <c r="Q5" s="21"/>
      <c r="R5" s="21"/>
      <c r="S5" s="21"/>
      <c r="T5" s="21"/>
      <c r="U5" s="49"/>
      <c r="V5" s="49"/>
      <c r="W5" s="143" t="s">
        <v>22</v>
      </c>
      <c r="X5" s="143"/>
      <c r="Y5" s="143"/>
      <c r="Z5" s="143"/>
      <c r="AA5" s="143"/>
      <c r="AB5" s="143"/>
      <c r="AC5" s="143"/>
      <c r="AD5" s="39"/>
    </row>
    <row r="6" spans="1:30" ht="15.6" customHeight="1" x14ac:dyDescent="0.2"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21"/>
      <c r="Q6" s="21"/>
      <c r="R6" s="21"/>
      <c r="S6" s="21"/>
      <c r="T6" s="21"/>
      <c r="U6" s="49"/>
      <c r="V6" s="49"/>
      <c r="W6" s="49"/>
      <c r="X6" s="49"/>
      <c r="Y6" s="49"/>
      <c r="Z6" s="49"/>
      <c r="AA6" s="39"/>
      <c r="AB6" s="39"/>
      <c r="AC6" s="39"/>
      <c r="AD6" s="39"/>
    </row>
    <row r="7" spans="1:30" ht="28.35" customHeight="1" x14ac:dyDescent="0.2">
      <c r="A7" s="109" t="s">
        <v>367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</row>
    <row r="8" spans="1:30" ht="15.6" customHeight="1" x14ac:dyDescent="0.2">
      <c r="A8" s="90" t="s">
        <v>274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</row>
    <row r="9" spans="1:30" ht="15.6" customHeight="1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U9" s="54"/>
      <c r="V9" s="96"/>
      <c r="W9" s="96"/>
      <c r="X9" s="96"/>
      <c r="Y9" s="96"/>
      <c r="Z9" s="96"/>
      <c r="AA9" s="144"/>
      <c r="AB9" s="144"/>
      <c r="AC9" s="144"/>
    </row>
    <row r="10" spans="1:30" ht="22.5" customHeight="1" x14ac:dyDescent="0.2">
      <c r="A10" s="145" t="s">
        <v>368</v>
      </c>
      <c r="B10" s="146"/>
      <c r="C10" s="145" t="s">
        <v>369</v>
      </c>
      <c r="D10" s="146"/>
      <c r="E10" s="146"/>
      <c r="F10" s="146"/>
      <c r="G10" s="146"/>
      <c r="H10" s="146"/>
      <c r="I10" s="146"/>
      <c r="J10" s="146"/>
      <c r="K10" s="149"/>
      <c r="L10" s="81" t="s">
        <v>370</v>
      </c>
      <c r="M10" s="82"/>
      <c r="N10" s="82"/>
      <c r="O10" s="82"/>
      <c r="P10" s="82"/>
      <c r="Q10" s="83"/>
      <c r="R10" s="81" t="s">
        <v>371</v>
      </c>
      <c r="S10" s="82"/>
      <c r="T10" s="82"/>
      <c r="U10" s="82"/>
      <c r="V10" s="82"/>
      <c r="W10" s="83"/>
      <c r="X10" s="81" t="s">
        <v>372</v>
      </c>
      <c r="Y10" s="82"/>
      <c r="Z10" s="82"/>
      <c r="AA10" s="82"/>
      <c r="AB10" s="82"/>
      <c r="AC10" s="83"/>
    </row>
    <row r="11" spans="1:30" ht="22.5" customHeight="1" x14ac:dyDescent="0.2">
      <c r="A11" s="147"/>
      <c r="B11" s="148"/>
      <c r="C11" s="147"/>
      <c r="D11" s="148"/>
      <c r="E11" s="148"/>
      <c r="F11" s="148"/>
      <c r="G11" s="148"/>
      <c r="H11" s="148"/>
      <c r="I11" s="148"/>
      <c r="J11" s="148"/>
      <c r="K11" s="150"/>
      <c r="L11" s="81" t="s">
        <v>373</v>
      </c>
      <c r="M11" s="82"/>
      <c r="N11" s="83"/>
      <c r="O11" s="81" t="s">
        <v>374</v>
      </c>
      <c r="P11" s="82"/>
      <c r="Q11" s="83"/>
      <c r="R11" s="81" t="s">
        <v>373</v>
      </c>
      <c r="S11" s="82"/>
      <c r="T11" s="83"/>
      <c r="U11" s="81" t="s">
        <v>374</v>
      </c>
      <c r="V11" s="82"/>
      <c r="W11" s="83"/>
      <c r="X11" s="81" t="s">
        <v>373</v>
      </c>
      <c r="Y11" s="82"/>
      <c r="Z11" s="83"/>
      <c r="AA11" s="81" t="s">
        <v>374</v>
      </c>
      <c r="AB11" s="82"/>
      <c r="AC11" s="83"/>
    </row>
    <row r="12" spans="1:30" ht="22.5" hidden="1" customHeight="1" x14ac:dyDescent="0.2">
      <c r="A12" s="81" t="s">
        <v>375</v>
      </c>
      <c r="B12" s="83"/>
      <c r="C12" s="81" t="s">
        <v>376</v>
      </c>
      <c r="D12" s="82"/>
      <c r="E12" s="82"/>
      <c r="F12" s="82"/>
      <c r="G12" s="82"/>
      <c r="H12" s="82"/>
      <c r="I12" s="82"/>
      <c r="J12" s="82"/>
      <c r="K12" s="83"/>
      <c r="L12" s="81">
        <v>1</v>
      </c>
      <c r="M12" s="82"/>
      <c r="N12" s="83"/>
      <c r="O12" s="81">
        <v>2</v>
      </c>
      <c r="P12" s="82"/>
      <c r="Q12" s="83"/>
      <c r="R12" s="81">
        <v>3</v>
      </c>
      <c r="S12" s="82"/>
      <c r="T12" s="83"/>
      <c r="U12" s="81">
        <v>4</v>
      </c>
      <c r="V12" s="82"/>
      <c r="W12" s="83"/>
      <c r="X12" s="81">
        <v>5</v>
      </c>
      <c r="Y12" s="82"/>
      <c r="Z12" s="83"/>
      <c r="AA12" s="81">
        <v>6</v>
      </c>
      <c r="AB12" s="82"/>
      <c r="AC12" s="83"/>
    </row>
    <row r="13" spans="1:30" ht="15" customHeight="1" x14ac:dyDescent="0.2">
      <c r="A13" s="139" t="s">
        <v>29</v>
      </c>
      <c r="B13" s="140"/>
      <c r="C13" s="139" t="s">
        <v>377</v>
      </c>
      <c r="D13" s="141"/>
      <c r="E13" s="141"/>
      <c r="F13" s="141"/>
      <c r="G13" s="141"/>
      <c r="H13" s="141"/>
      <c r="I13" s="141"/>
      <c r="J13" s="141"/>
      <c r="K13" s="140"/>
      <c r="L13" s="136">
        <v>187151914</v>
      </c>
      <c r="M13" s="137"/>
      <c r="N13" s="138"/>
      <c r="O13" s="136">
        <v>0</v>
      </c>
      <c r="P13" s="137"/>
      <c r="Q13" s="138"/>
      <c r="R13" s="136">
        <v>71611317118</v>
      </c>
      <c r="S13" s="137"/>
      <c r="T13" s="138"/>
      <c r="U13" s="136">
        <v>71271260708</v>
      </c>
      <c r="V13" s="137"/>
      <c r="W13" s="138"/>
      <c r="X13" s="136">
        <v>527208324</v>
      </c>
      <c r="Y13" s="137"/>
      <c r="Z13" s="138"/>
      <c r="AA13" s="136">
        <v>0</v>
      </c>
      <c r="AB13" s="137"/>
      <c r="AC13" s="138"/>
      <c r="AD13" s="1">
        <v>1</v>
      </c>
    </row>
    <row r="14" spans="1:30" ht="15" customHeight="1" x14ac:dyDescent="0.2">
      <c r="A14" s="139" t="s">
        <v>378</v>
      </c>
      <c r="B14" s="140"/>
      <c r="C14" s="139" t="s">
        <v>379</v>
      </c>
      <c r="D14" s="141"/>
      <c r="E14" s="141"/>
      <c r="F14" s="141"/>
      <c r="G14" s="141"/>
      <c r="H14" s="141"/>
      <c r="I14" s="141"/>
      <c r="J14" s="141"/>
      <c r="K14" s="140"/>
      <c r="L14" s="136">
        <v>187151914</v>
      </c>
      <c r="M14" s="137"/>
      <c r="N14" s="138"/>
      <c r="O14" s="136">
        <v>0</v>
      </c>
      <c r="P14" s="137"/>
      <c r="Q14" s="138"/>
      <c r="R14" s="136">
        <v>71611317118</v>
      </c>
      <c r="S14" s="137"/>
      <c r="T14" s="138"/>
      <c r="U14" s="136">
        <v>71271260708</v>
      </c>
      <c r="V14" s="137"/>
      <c r="W14" s="138"/>
      <c r="X14" s="136">
        <v>527208324</v>
      </c>
      <c r="Y14" s="137"/>
      <c r="Z14" s="138"/>
      <c r="AA14" s="136">
        <v>0</v>
      </c>
      <c r="AB14" s="137"/>
      <c r="AC14" s="138"/>
      <c r="AD14" s="1">
        <v>0</v>
      </c>
    </row>
    <row r="15" spans="1:30" ht="15" customHeight="1" x14ac:dyDescent="0.2">
      <c r="A15" s="139" t="s">
        <v>380</v>
      </c>
      <c r="B15" s="140"/>
      <c r="C15" s="139" t="s">
        <v>381</v>
      </c>
      <c r="D15" s="141"/>
      <c r="E15" s="141"/>
      <c r="F15" s="141"/>
      <c r="G15" s="141"/>
      <c r="H15" s="141"/>
      <c r="I15" s="141"/>
      <c r="J15" s="141"/>
      <c r="K15" s="140"/>
      <c r="L15" s="136">
        <v>187151914</v>
      </c>
      <c r="M15" s="137"/>
      <c r="N15" s="138"/>
      <c r="O15" s="136">
        <v>0</v>
      </c>
      <c r="P15" s="137"/>
      <c r="Q15" s="138"/>
      <c r="R15" s="136">
        <v>71611317118</v>
      </c>
      <c r="S15" s="137"/>
      <c r="T15" s="138"/>
      <c r="U15" s="136">
        <v>71271260708</v>
      </c>
      <c r="V15" s="137"/>
      <c r="W15" s="138"/>
      <c r="X15" s="136">
        <v>527208324</v>
      </c>
      <c r="Y15" s="137"/>
      <c r="Z15" s="138"/>
      <c r="AA15" s="136">
        <v>0</v>
      </c>
      <c r="AB15" s="137"/>
      <c r="AC15" s="138"/>
      <c r="AD15" s="1">
        <v>0</v>
      </c>
    </row>
    <row r="16" spans="1:30" ht="15" customHeight="1" x14ac:dyDescent="0.2">
      <c r="A16" s="139" t="s">
        <v>31</v>
      </c>
      <c r="B16" s="140"/>
      <c r="C16" s="139" t="s">
        <v>382</v>
      </c>
      <c r="D16" s="141"/>
      <c r="E16" s="141"/>
      <c r="F16" s="141"/>
      <c r="G16" s="141"/>
      <c r="H16" s="141"/>
      <c r="I16" s="141"/>
      <c r="J16" s="141"/>
      <c r="K16" s="140"/>
      <c r="L16" s="136">
        <v>214027488</v>
      </c>
      <c r="M16" s="137"/>
      <c r="N16" s="138"/>
      <c r="O16" s="136">
        <v>0</v>
      </c>
      <c r="P16" s="137"/>
      <c r="Q16" s="138"/>
      <c r="R16" s="136">
        <v>113364315471</v>
      </c>
      <c r="S16" s="137"/>
      <c r="T16" s="138"/>
      <c r="U16" s="136">
        <v>111078134736</v>
      </c>
      <c r="V16" s="137"/>
      <c r="W16" s="138"/>
      <c r="X16" s="136">
        <v>2500208223</v>
      </c>
      <c r="Y16" s="137"/>
      <c r="Z16" s="138"/>
      <c r="AA16" s="136">
        <v>0</v>
      </c>
      <c r="AB16" s="137"/>
      <c r="AC16" s="138"/>
      <c r="AD16" s="1">
        <v>1</v>
      </c>
    </row>
    <row r="17" spans="1:30" ht="15" customHeight="1" x14ac:dyDescent="0.2">
      <c r="A17" s="139" t="s">
        <v>383</v>
      </c>
      <c r="B17" s="140"/>
      <c r="C17" s="139" t="s">
        <v>379</v>
      </c>
      <c r="D17" s="141"/>
      <c r="E17" s="141"/>
      <c r="F17" s="141"/>
      <c r="G17" s="141"/>
      <c r="H17" s="141"/>
      <c r="I17" s="141"/>
      <c r="J17" s="141"/>
      <c r="K17" s="140"/>
      <c r="L17" s="136">
        <v>214027488</v>
      </c>
      <c r="M17" s="137"/>
      <c r="N17" s="138"/>
      <c r="O17" s="136">
        <v>0</v>
      </c>
      <c r="P17" s="137"/>
      <c r="Q17" s="138"/>
      <c r="R17" s="136">
        <v>113364315471</v>
      </c>
      <c r="S17" s="137"/>
      <c r="T17" s="138"/>
      <c r="U17" s="136">
        <v>111078134736</v>
      </c>
      <c r="V17" s="137"/>
      <c r="W17" s="138"/>
      <c r="X17" s="136">
        <v>2500208223</v>
      </c>
      <c r="Y17" s="137"/>
      <c r="Z17" s="138"/>
      <c r="AA17" s="136">
        <v>0</v>
      </c>
      <c r="AB17" s="137"/>
      <c r="AC17" s="138"/>
      <c r="AD17" s="1">
        <v>0</v>
      </c>
    </row>
    <row r="18" spans="1:30" ht="15" customHeight="1" x14ac:dyDescent="0.2">
      <c r="A18" s="139" t="s">
        <v>384</v>
      </c>
      <c r="B18" s="140"/>
      <c r="C18" s="139" t="s">
        <v>385</v>
      </c>
      <c r="D18" s="141"/>
      <c r="E18" s="141"/>
      <c r="F18" s="141"/>
      <c r="G18" s="141"/>
      <c r="H18" s="141"/>
      <c r="I18" s="141"/>
      <c r="J18" s="141"/>
      <c r="K18" s="140"/>
      <c r="L18" s="136">
        <v>19383821</v>
      </c>
      <c r="M18" s="137"/>
      <c r="N18" s="138"/>
      <c r="O18" s="136">
        <v>0</v>
      </c>
      <c r="P18" s="137"/>
      <c r="Q18" s="138"/>
      <c r="R18" s="136">
        <v>3662022734</v>
      </c>
      <c r="S18" s="137"/>
      <c r="T18" s="138"/>
      <c r="U18" s="136">
        <v>3648860333</v>
      </c>
      <c r="V18" s="137"/>
      <c r="W18" s="138"/>
      <c r="X18" s="136">
        <v>32546222</v>
      </c>
      <c r="Y18" s="137"/>
      <c r="Z18" s="138"/>
      <c r="AA18" s="136">
        <v>0</v>
      </c>
      <c r="AB18" s="137"/>
      <c r="AC18" s="138"/>
      <c r="AD18" s="1">
        <v>0</v>
      </c>
    </row>
    <row r="19" spans="1:30" ht="15" customHeight="1" x14ac:dyDescent="0.2">
      <c r="A19" s="139" t="s">
        <v>386</v>
      </c>
      <c r="B19" s="140"/>
      <c r="C19" s="139" t="s">
        <v>387</v>
      </c>
      <c r="D19" s="141"/>
      <c r="E19" s="141"/>
      <c r="F19" s="141"/>
      <c r="G19" s="141"/>
      <c r="H19" s="141"/>
      <c r="I19" s="141"/>
      <c r="J19" s="141"/>
      <c r="K19" s="140"/>
      <c r="L19" s="136">
        <v>17787436</v>
      </c>
      <c r="M19" s="137"/>
      <c r="N19" s="138"/>
      <c r="O19" s="136">
        <v>0</v>
      </c>
      <c r="P19" s="137"/>
      <c r="Q19" s="138"/>
      <c r="R19" s="136">
        <v>500019001</v>
      </c>
      <c r="S19" s="137"/>
      <c r="T19" s="138"/>
      <c r="U19" s="136">
        <v>502581396</v>
      </c>
      <c r="V19" s="137"/>
      <c r="W19" s="138"/>
      <c r="X19" s="136">
        <v>15225041</v>
      </c>
      <c r="Y19" s="137"/>
      <c r="Z19" s="138"/>
      <c r="AA19" s="136">
        <v>0</v>
      </c>
      <c r="AB19" s="137"/>
      <c r="AC19" s="138"/>
      <c r="AD19" s="1">
        <v>0</v>
      </c>
    </row>
    <row r="20" spans="1:30" ht="15" customHeight="1" x14ac:dyDescent="0.2">
      <c r="A20" s="139" t="s">
        <v>388</v>
      </c>
      <c r="B20" s="140"/>
      <c r="C20" s="139" t="s">
        <v>389</v>
      </c>
      <c r="D20" s="141"/>
      <c r="E20" s="141"/>
      <c r="F20" s="141"/>
      <c r="G20" s="141"/>
      <c r="H20" s="141"/>
      <c r="I20" s="141"/>
      <c r="J20" s="141"/>
      <c r="K20" s="140"/>
      <c r="L20" s="136">
        <v>731405</v>
      </c>
      <c r="M20" s="137"/>
      <c r="N20" s="138"/>
      <c r="O20" s="136">
        <v>0</v>
      </c>
      <c r="P20" s="137"/>
      <c r="Q20" s="138"/>
      <c r="R20" s="136">
        <v>9167003633</v>
      </c>
      <c r="S20" s="137"/>
      <c r="T20" s="138"/>
      <c r="U20" s="136">
        <v>9147703599</v>
      </c>
      <c r="V20" s="137"/>
      <c r="W20" s="138"/>
      <c r="X20" s="136">
        <v>20031439</v>
      </c>
      <c r="Y20" s="137"/>
      <c r="Z20" s="138"/>
      <c r="AA20" s="136">
        <v>0</v>
      </c>
      <c r="AB20" s="137"/>
      <c r="AC20" s="138"/>
      <c r="AD20" s="1">
        <v>0</v>
      </c>
    </row>
    <row r="21" spans="1:30" ht="15" customHeight="1" x14ac:dyDescent="0.2">
      <c r="A21" s="139" t="s">
        <v>390</v>
      </c>
      <c r="B21" s="140"/>
      <c r="C21" s="139" t="s">
        <v>391</v>
      </c>
      <c r="D21" s="141"/>
      <c r="E21" s="141"/>
      <c r="F21" s="141"/>
      <c r="G21" s="141"/>
      <c r="H21" s="141"/>
      <c r="I21" s="141"/>
      <c r="J21" s="141"/>
      <c r="K21" s="140"/>
      <c r="L21" s="136">
        <v>3050365</v>
      </c>
      <c r="M21" s="137"/>
      <c r="N21" s="138"/>
      <c r="O21" s="136">
        <v>0</v>
      </c>
      <c r="P21" s="137"/>
      <c r="Q21" s="138"/>
      <c r="R21" s="136">
        <v>147</v>
      </c>
      <c r="S21" s="137"/>
      <c r="T21" s="138"/>
      <c r="U21" s="136">
        <v>198000</v>
      </c>
      <c r="V21" s="137"/>
      <c r="W21" s="138"/>
      <c r="X21" s="136">
        <v>2852512</v>
      </c>
      <c r="Y21" s="137"/>
      <c r="Z21" s="138"/>
      <c r="AA21" s="136">
        <v>0</v>
      </c>
      <c r="AB21" s="137"/>
      <c r="AC21" s="138"/>
      <c r="AD21" s="1">
        <v>0</v>
      </c>
    </row>
    <row r="22" spans="1:30" ht="15" customHeight="1" x14ac:dyDescent="0.2">
      <c r="A22" s="139" t="s">
        <v>392</v>
      </c>
      <c r="B22" s="140"/>
      <c r="C22" s="139" t="s">
        <v>393</v>
      </c>
      <c r="D22" s="141"/>
      <c r="E22" s="141"/>
      <c r="F22" s="141"/>
      <c r="G22" s="141"/>
      <c r="H22" s="141"/>
      <c r="I22" s="141"/>
      <c r="J22" s="141"/>
      <c r="K22" s="140"/>
      <c r="L22" s="136">
        <v>173074461</v>
      </c>
      <c r="M22" s="137"/>
      <c r="N22" s="138"/>
      <c r="O22" s="136">
        <v>0</v>
      </c>
      <c r="P22" s="137"/>
      <c r="Q22" s="138"/>
      <c r="R22" s="136">
        <v>74643315409</v>
      </c>
      <c r="S22" s="137"/>
      <c r="T22" s="138"/>
      <c r="U22" s="136">
        <v>72421054259</v>
      </c>
      <c r="V22" s="137"/>
      <c r="W22" s="138"/>
      <c r="X22" s="136">
        <v>2395335611</v>
      </c>
      <c r="Y22" s="137"/>
      <c r="Z22" s="138"/>
      <c r="AA22" s="136">
        <v>0</v>
      </c>
      <c r="AB22" s="137"/>
      <c r="AC22" s="138"/>
      <c r="AD22" s="1">
        <v>0</v>
      </c>
    </row>
    <row r="23" spans="1:30" ht="15" customHeight="1" x14ac:dyDescent="0.2">
      <c r="A23" s="139" t="s">
        <v>394</v>
      </c>
      <c r="B23" s="140"/>
      <c r="C23" s="139" t="s">
        <v>395</v>
      </c>
      <c r="D23" s="141"/>
      <c r="E23" s="141"/>
      <c r="F23" s="141"/>
      <c r="G23" s="141"/>
      <c r="H23" s="141"/>
      <c r="I23" s="141"/>
      <c r="J23" s="141"/>
      <c r="K23" s="140"/>
      <c r="L23" s="136">
        <v>0</v>
      </c>
      <c r="M23" s="137"/>
      <c r="N23" s="138"/>
      <c r="O23" s="136">
        <v>0</v>
      </c>
      <c r="P23" s="137"/>
      <c r="Q23" s="138"/>
      <c r="R23" s="136">
        <v>20391954547</v>
      </c>
      <c r="S23" s="137"/>
      <c r="T23" s="138"/>
      <c r="U23" s="136">
        <v>20357737149</v>
      </c>
      <c r="V23" s="137"/>
      <c r="W23" s="138"/>
      <c r="X23" s="136">
        <v>34217398</v>
      </c>
      <c r="Y23" s="137"/>
      <c r="Z23" s="138"/>
      <c r="AA23" s="136">
        <v>0</v>
      </c>
      <c r="AB23" s="137"/>
      <c r="AC23" s="138"/>
      <c r="AD23" s="1">
        <v>0</v>
      </c>
    </row>
    <row r="24" spans="1:30" ht="15" customHeight="1" x14ac:dyDescent="0.2">
      <c r="A24" s="139" t="s">
        <v>396</v>
      </c>
      <c r="B24" s="140"/>
      <c r="C24" s="139" t="s">
        <v>397</v>
      </c>
      <c r="D24" s="141"/>
      <c r="E24" s="141"/>
      <c r="F24" s="141"/>
      <c r="G24" s="141"/>
      <c r="H24" s="141"/>
      <c r="I24" s="141"/>
      <c r="J24" s="141"/>
      <c r="K24" s="140"/>
      <c r="L24" s="136">
        <v>0</v>
      </c>
      <c r="M24" s="137"/>
      <c r="N24" s="138"/>
      <c r="O24" s="136">
        <v>0</v>
      </c>
      <c r="P24" s="137"/>
      <c r="Q24" s="138"/>
      <c r="R24" s="136">
        <v>5000000000</v>
      </c>
      <c r="S24" s="137"/>
      <c r="T24" s="138"/>
      <c r="U24" s="136">
        <v>5000000000</v>
      </c>
      <c r="V24" s="137"/>
      <c r="W24" s="138"/>
      <c r="X24" s="136">
        <v>0</v>
      </c>
      <c r="Y24" s="137"/>
      <c r="Z24" s="138"/>
      <c r="AA24" s="136">
        <v>0</v>
      </c>
      <c r="AB24" s="137"/>
      <c r="AC24" s="138"/>
      <c r="AD24" s="1">
        <v>0</v>
      </c>
    </row>
    <row r="25" spans="1:30" ht="15" customHeight="1" x14ac:dyDescent="0.2">
      <c r="A25" s="139" t="s">
        <v>398</v>
      </c>
      <c r="B25" s="140"/>
      <c r="C25" s="139" t="s">
        <v>399</v>
      </c>
      <c r="D25" s="141"/>
      <c r="E25" s="141"/>
      <c r="F25" s="141"/>
      <c r="G25" s="141"/>
      <c r="H25" s="141"/>
      <c r="I25" s="141"/>
      <c r="J25" s="141"/>
      <c r="K25" s="140"/>
      <c r="L25" s="136">
        <v>44000000000</v>
      </c>
      <c r="M25" s="137"/>
      <c r="N25" s="138"/>
      <c r="O25" s="136">
        <v>0</v>
      </c>
      <c r="P25" s="137"/>
      <c r="Q25" s="138"/>
      <c r="R25" s="136">
        <v>18550000000</v>
      </c>
      <c r="S25" s="137"/>
      <c r="T25" s="138"/>
      <c r="U25" s="136">
        <v>48050000000</v>
      </c>
      <c r="V25" s="137"/>
      <c r="W25" s="138"/>
      <c r="X25" s="136">
        <v>14500000000</v>
      </c>
      <c r="Y25" s="137"/>
      <c r="Z25" s="138"/>
      <c r="AA25" s="136">
        <v>0</v>
      </c>
      <c r="AB25" s="137"/>
      <c r="AC25" s="138"/>
      <c r="AD25" s="1">
        <v>1</v>
      </c>
    </row>
    <row r="26" spans="1:30" ht="15" customHeight="1" x14ac:dyDescent="0.2">
      <c r="A26" s="139" t="s">
        <v>400</v>
      </c>
      <c r="B26" s="140"/>
      <c r="C26" s="139" t="s">
        <v>401</v>
      </c>
      <c r="D26" s="141"/>
      <c r="E26" s="141"/>
      <c r="F26" s="141"/>
      <c r="G26" s="141"/>
      <c r="H26" s="141"/>
      <c r="I26" s="141"/>
      <c r="J26" s="141"/>
      <c r="K26" s="140"/>
      <c r="L26" s="136">
        <v>44000000000</v>
      </c>
      <c r="M26" s="137"/>
      <c r="N26" s="138"/>
      <c r="O26" s="136">
        <v>0</v>
      </c>
      <c r="P26" s="137"/>
      <c r="Q26" s="138"/>
      <c r="R26" s="136">
        <v>18550000000</v>
      </c>
      <c r="S26" s="137"/>
      <c r="T26" s="138"/>
      <c r="U26" s="136">
        <v>48050000000</v>
      </c>
      <c r="V26" s="137"/>
      <c r="W26" s="138"/>
      <c r="X26" s="136">
        <v>14500000000</v>
      </c>
      <c r="Y26" s="137"/>
      <c r="Z26" s="138"/>
      <c r="AA26" s="136">
        <v>0</v>
      </c>
      <c r="AB26" s="137"/>
      <c r="AC26" s="138"/>
      <c r="AD26" s="1">
        <v>0</v>
      </c>
    </row>
    <row r="27" spans="1:30" ht="15" customHeight="1" x14ac:dyDescent="0.2">
      <c r="A27" s="139" t="s">
        <v>49</v>
      </c>
      <c r="B27" s="140"/>
      <c r="C27" s="139" t="s">
        <v>402</v>
      </c>
      <c r="D27" s="141"/>
      <c r="E27" s="141"/>
      <c r="F27" s="141"/>
      <c r="G27" s="141"/>
      <c r="H27" s="141"/>
      <c r="I27" s="141"/>
      <c r="J27" s="141"/>
      <c r="K27" s="140"/>
      <c r="L27" s="136">
        <v>0</v>
      </c>
      <c r="M27" s="137"/>
      <c r="N27" s="138"/>
      <c r="O27" s="136">
        <v>4220631204</v>
      </c>
      <c r="P27" s="137"/>
      <c r="Q27" s="138"/>
      <c r="R27" s="136">
        <v>45384843553</v>
      </c>
      <c r="S27" s="137"/>
      <c r="T27" s="138"/>
      <c r="U27" s="136">
        <v>35159588510</v>
      </c>
      <c r="V27" s="137"/>
      <c r="W27" s="138"/>
      <c r="X27" s="136">
        <v>6661517040</v>
      </c>
      <c r="Y27" s="137"/>
      <c r="Z27" s="138"/>
      <c r="AA27" s="136">
        <v>656893201</v>
      </c>
      <c r="AB27" s="137"/>
      <c r="AC27" s="138"/>
      <c r="AD27" s="1">
        <v>1</v>
      </c>
    </row>
    <row r="28" spans="1:30" ht="15" customHeight="1" x14ac:dyDescent="0.2">
      <c r="A28" s="139" t="s">
        <v>403</v>
      </c>
      <c r="B28" s="140"/>
      <c r="C28" s="139" t="s">
        <v>404</v>
      </c>
      <c r="D28" s="141"/>
      <c r="E28" s="141"/>
      <c r="F28" s="141"/>
      <c r="G28" s="141"/>
      <c r="H28" s="141"/>
      <c r="I28" s="141"/>
      <c r="J28" s="141"/>
      <c r="K28" s="140"/>
      <c r="L28" s="136">
        <v>0</v>
      </c>
      <c r="M28" s="137"/>
      <c r="N28" s="138"/>
      <c r="O28" s="136">
        <v>4220631204</v>
      </c>
      <c r="P28" s="137"/>
      <c r="Q28" s="138"/>
      <c r="R28" s="136">
        <v>45384843553</v>
      </c>
      <c r="S28" s="137"/>
      <c r="T28" s="138"/>
      <c r="U28" s="136">
        <v>35159588510</v>
      </c>
      <c r="V28" s="137"/>
      <c r="W28" s="138"/>
      <c r="X28" s="136">
        <v>6661517040</v>
      </c>
      <c r="Y28" s="137"/>
      <c r="Z28" s="138"/>
      <c r="AA28" s="136">
        <v>656893201</v>
      </c>
      <c r="AB28" s="137"/>
      <c r="AC28" s="138"/>
      <c r="AD28" s="1">
        <v>0</v>
      </c>
    </row>
    <row r="29" spans="1:30" ht="15" customHeight="1" x14ac:dyDescent="0.2">
      <c r="A29" s="139" t="s">
        <v>405</v>
      </c>
      <c r="B29" s="140"/>
      <c r="C29" s="139" t="s">
        <v>406</v>
      </c>
      <c r="D29" s="141"/>
      <c r="E29" s="141"/>
      <c r="F29" s="141"/>
      <c r="G29" s="141"/>
      <c r="H29" s="141"/>
      <c r="I29" s="141"/>
      <c r="J29" s="141"/>
      <c r="K29" s="140"/>
      <c r="L29" s="136">
        <v>0</v>
      </c>
      <c r="M29" s="137"/>
      <c r="N29" s="138"/>
      <c r="O29" s="136">
        <v>4006248994</v>
      </c>
      <c r="P29" s="137"/>
      <c r="Q29" s="138"/>
      <c r="R29" s="136">
        <v>22490766059</v>
      </c>
      <c r="S29" s="137"/>
      <c r="T29" s="138"/>
      <c r="U29" s="136">
        <v>11823000025</v>
      </c>
      <c r="V29" s="137"/>
      <c r="W29" s="138"/>
      <c r="X29" s="136">
        <v>6661517040</v>
      </c>
      <c r="Y29" s="137"/>
      <c r="Z29" s="138"/>
      <c r="AA29" s="136">
        <v>0</v>
      </c>
      <c r="AB29" s="137"/>
      <c r="AC29" s="138"/>
      <c r="AD29" s="1">
        <v>0</v>
      </c>
    </row>
    <row r="30" spans="1:30" ht="15" customHeight="1" x14ac:dyDescent="0.2">
      <c r="A30" s="139" t="s">
        <v>407</v>
      </c>
      <c r="B30" s="140"/>
      <c r="C30" s="139" t="s">
        <v>408</v>
      </c>
      <c r="D30" s="141"/>
      <c r="E30" s="141"/>
      <c r="F30" s="141"/>
      <c r="G30" s="141"/>
      <c r="H30" s="141"/>
      <c r="I30" s="141"/>
      <c r="J30" s="141"/>
      <c r="K30" s="140"/>
      <c r="L30" s="136">
        <v>0</v>
      </c>
      <c r="M30" s="137"/>
      <c r="N30" s="138"/>
      <c r="O30" s="136">
        <v>214382210</v>
      </c>
      <c r="P30" s="137"/>
      <c r="Q30" s="138"/>
      <c r="R30" s="136">
        <v>21670851319</v>
      </c>
      <c r="S30" s="137"/>
      <c r="T30" s="138"/>
      <c r="U30" s="136">
        <v>22113362310</v>
      </c>
      <c r="V30" s="137"/>
      <c r="W30" s="138"/>
      <c r="X30" s="136">
        <v>0</v>
      </c>
      <c r="Y30" s="137"/>
      <c r="Z30" s="138"/>
      <c r="AA30" s="136">
        <v>656893201</v>
      </c>
      <c r="AB30" s="137"/>
      <c r="AC30" s="138"/>
      <c r="AD30" s="1">
        <v>0</v>
      </c>
    </row>
    <row r="31" spans="1:30" ht="15" customHeight="1" x14ac:dyDescent="0.2">
      <c r="A31" s="139" t="s">
        <v>409</v>
      </c>
      <c r="B31" s="140"/>
      <c r="C31" s="139" t="s">
        <v>410</v>
      </c>
      <c r="D31" s="141"/>
      <c r="E31" s="141"/>
      <c r="F31" s="141"/>
      <c r="G31" s="141"/>
      <c r="H31" s="141"/>
      <c r="I31" s="141"/>
      <c r="J31" s="141"/>
      <c r="K31" s="140"/>
      <c r="L31" s="136">
        <v>0</v>
      </c>
      <c r="M31" s="137"/>
      <c r="N31" s="138"/>
      <c r="O31" s="136">
        <v>0</v>
      </c>
      <c r="P31" s="137"/>
      <c r="Q31" s="138"/>
      <c r="R31" s="136">
        <v>711211263</v>
      </c>
      <c r="S31" s="137"/>
      <c r="T31" s="138"/>
      <c r="U31" s="136">
        <v>711211263</v>
      </c>
      <c r="V31" s="137"/>
      <c r="W31" s="138"/>
      <c r="X31" s="136">
        <v>0</v>
      </c>
      <c r="Y31" s="137"/>
      <c r="Z31" s="138"/>
      <c r="AA31" s="136">
        <v>0</v>
      </c>
      <c r="AB31" s="137"/>
      <c r="AC31" s="138"/>
      <c r="AD31" s="1">
        <v>0</v>
      </c>
    </row>
    <row r="32" spans="1:30" ht="15" customHeight="1" x14ac:dyDescent="0.2">
      <c r="A32" s="139" t="s">
        <v>411</v>
      </c>
      <c r="B32" s="140"/>
      <c r="C32" s="139" t="s">
        <v>412</v>
      </c>
      <c r="D32" s="141"/>
      <c r="E32" s="141"/>
      <c r="F32" s="141"/>
      <c r="G32" s="141"/>
      <c r="H32" s="141"/>
      <c r="I32" s="141"/>
      <c r="J32" s="141"/>
      <c r="K32" s="140"/>
      <c r="L32" s="136">
        <v>0</v>
      </c>
      <c r="M32" s="137"/>
      <c r="N32" s="138"/>
      <c r="O32" s="136">
        <v>0</v>
      </c>
      <c r="P32" s="137"/>
      <c r="Q32" s="138"/>
      <c r="R32" s="136">
        <v>452632854</v>
      </c>
      <c r="S32" s="137"/>
      <c r="T32" s="138"/>
      <c r="U32" s="136">
        <v>452632854</v>
      </c>
      <c r="V32" s="137"/>
      <c r="W32" s="138"/>
      <c r="X32" s="136">
        <v>0</v>
      </c>
      <c r="Y32" s="137"/>
      <c r="Z32" s="138"/>
      <c r="AA32" s="136">
        <v>0</v>
      </c>
      <c r="AB32" s="137"/>
      <c r="AC32" s="138"/>
      <c r="AD32" s="1">
        <v>0</v>
      </c>
    </row>
    <row r="33" spans="1:30" ht="15" customHeight="1" x14ac:dyDescent="0.2">
      <c r="A33" s="139" t="s">
        <v>413</v>
      </c>
      <c r="B33" s="140"/>
      <c r="C33" s="139" t="s">
        <v>414</v>
      </c>
      <c r="D33" s="141"/>
      <c r="E33" s="141"/>
      <c r="F33" s="141"/>
      <c r="G33" s="141"/>
      <c r="H33" s="141"/>
      <c r="I33" s="141"/>
      <c r="J33" s="141"/>
      <c r="K33" s="140"/>
      <c r="L33" s="136">
        <v>0</v>
      </c>
      <c r="M33" s="137"/>
      <c r="N33" s="138"/>
      <c r="O33" s="136">
        <v>0</v>
      </c>
      <c r="P33" s="137"/>
      <c r="Q33" s="138"/>
      <c r="R33" s="136">
        <v>59382058</v>
      </c>
      <c r="S33" s="137"/>
      <c r="T33" s="138"/>
      <c r="U33" s="136">
        <v>59382058</v>
      </c>
      <c r="V33" s="137"/>
      <c r="W33" s="138"/>
      <c r="X33" s="136">
        <v>0</v>
      </c>
      <c r="Y33" s="137"/>
      <c r="Z33" s="138"/>
      <c r="AA33" s="136">
        <v>0</v>
      </c>
      <c r="AB33" s="137"/>
      <c r="AC33" s="138"/>
      <c r="AD33" s="1">
        <v>0</v>
      </c>
    </row>
    <row r="34" spans="1:30" ht="15" customHeight="1" x14ac:dyDescent="0.2">
      <c r="A34" s="139" t="s">
        <v>53</v>
      </c>
      <c r="B34" s="140"/>
      <c r="C34" s="139" t="s">
        <v>415</v>
      </c>
      <c r="D34" s="141"/>
      <c r="E34" s="141"/>
      <c r="F34" s="141"/>
      <c r="G34" s="141"/>
      <c r="H34" s="141"/>
      <c r="I34" s="141"/>
      <c r="J34" s="141"/>
      <c r="K34" s="140"/>
      <c r="L34" s="136">
        <v>0</v>
      </c>
      <c r="M34" s="137"/>
      <c r="N34" s="138"/>
      <c r="O34" s="136">
        <v>0</v>
      </c>
      <c r="P34" s="137"/>
      <c r="Q34" s="138"/>
      <c r="R34" s="136">
        <v>34261187</v>
      </c>
      <c r="S34" s="137"/>
      <c r="T34" s="138"/>
      <c r="U34" s="136">
        <v>34261187</v>
      </c>
      <c r="V34" s="137"/>
      <c r="W34" s="138"/>
      <c r="X34" s="136">
        <v>0</v>
      </c>
      <c r="Y34" s="137"/>
      <c r="Z34" s="138"/>
      <c r="AA34" s="136">
        <v>0</v>
      </c>
      <c r="AB34" s="137"/>
      <c r="AC34" s="138"/>
      <c r="AD34" s="1">
        <v>1</v>
      </c>
    </row>
    <row r="35" spans="1:30" ht="15" customHeight="1" x14ac:dyDescent="0.2">
      <c r="A35" s="139" t="s">
        <v>416</v>
      </c>
      <c r="B35" s="140"/>
      <c r="C35" s="139" t="s">
        <v>417</v>
      </c>
      <c r="D35" s="141"/>
      <c r="E35" s="141"/>
      <c r="F35" s="141"/>
      <c r="G35" s="141"/>
      <c r="H35" s="141"/>
      <c r="I35" s="141"/>
      <c r="J35" s="141"/>
      <c r="K35" s="140"/>
      <c r="L35" s="136">
        <v>0</v>
      </c>
      <c r="M35" s="137"/>
      <c r="N35" s="138"/>
      <c r="O35" s="136">
        <v>0</v>
      </c>
      <c r="P35" s="137"/>
      <c r="Q35" s="138"/>
      <c r="R35" s="136">
        <v>34261187</v>
      </c>
      <c r="S35" s="137"/>
      <c r="T35" s="138"/>
      <c r="U35" s="136">
        <v>34261187</v>
      </c>
      <c r="V35" s="137"/>
      <c r="W35" s="138"/>
      <c r="X35" s="136">
        <v>0</v>
      </c>
      <c r="Y35" s="137"/>
      <c r="Z35" s="138"/>
      <c r="AA35" s="136">
        <v>0</v>
      </c>
      <c r="AB35" s="137"/>
      <c r="AC35" s="138"/>
      <c r="AD35" s="1">
        <v>0</v>
      </c>
    </row>
    <row r="36" spans="1:30" ht="15" customHeight="1" x14ac:dyDescent="0.2">
      <c r="A36" s="139" t="s">
        <v>418</v>
      </c>
      <c r="B36" s="140"/>
      <c r="C36" s="139" t="s">
        <v>417</v>
      </c>
      <c r="D36" s="141"/>
      <c r="E36" s="141"/>
      <c r="F36" s="141"/>
      <c r="G36" s="141"/>
      <c r="H36" s="141"/>
      <c r="I36" s="141"/>
      <c r="J36" s="141"/>
      <c r="K36" s="140"/>
      <c r="L36" s="136">
        <v>0</v>
      </c>
      <c r="M36" s="137"/>
      <c r="N36" s="138"/>
      <c r="O36" s="136">
        <v>0</v>
      </c>
      <c r="P36" s="137"/>
      <c r="Q36" s="138"/>
      <c r="R36" s="136">
        <v>34261187</v>
      </c>
      <c r="S36" s="137"/>
      <c r="T36" s="138"/>
      <c r="U36" s="136">
        <v>34261187</v>
      </c>
      <c r="V36" s="137"/>
      <c r="W36" s="138"/>
      <c r="X36" s="136">
        <v>0</v>
      </c>
      <c r="Y36" s="137"/>
      <c r="Z36" s="138"/>
      <c r="AA36" s="136">
        <v>0</v>
      </c>
      <c r="AB36" s="137"/>
      <c r="AC36" s="138"/>
      <c r="AD36" s="1">
        <v>0</v>
      </c>
    </row>
    <row r="37" spans="1:30" ht="15" customHeight="1" x14ac:dyDescent="0.2">
      <c r="A37" s="139" t="s">
        <v>419</v>
      </c>
      <c r="B37" s="140"/>
      <c r="C37" s="139" t="s">
        <v>420</v>
      </c>
      <c r="D37" s="141"/>
      <c r="E37" s="141"/>
      <c r="F37" s="141"/>
      <c r="G37" s="141"/>
      <c r="H37" s="141"/>
      <c r="I37" s="141"/>
      <c r="J37" s="141"/>
      <c r="K37" s="140"/>
      <c r="L37" s="136">
        <v>549000000</v>
      </c>
      <c r="M37" s="137"/>
      <c r="N37" s="138"/>
      <c r="O37" s="136">
        <v>0</v>
      </c>
      <c r="P37" s="137"/>
      <c r="Q37" s="138"/>
      <c r="R37" s="136">
        <v>1900242640</v>
      </c>
      <c r="S37" s="137"/>
      <c r="T37" s="138"/>
      <c r="U37" s="136">
        <v>395242640</v>
      </c>
      <c r="V37" s="137"/>
      <c r="W37" s="138"/>
      <c r="X37" s="136">
        <v>2054000000</v>
      </c>
      <c r="Y37" s="137"/>
      <c r="Z37" s="138"/>
      <c r="AA37" s="136">
        <v>0</v>
      </c>
      <c r="AB37" s="137"/>
      <c r="AC37" s="138"/>
      <c r="AD37" s="1">
        <v>1</v>
      </c>
    </row>
    <row r="38" spans="1:30" ht="15" customHeight="1" x14ac:dyDescent="0.2">
      <c r="A38" s="139" t="s">
        <v>421</v>
      </c>
      <c r="B38" s="140"/>
      <c r="C38" s="139" t="s">
        <v>420</v>
      </c>
      <c r="D38" s="141"/>
      <c r="E38" s="141"/>
      <c r="F38" s="141"/>
      <c r="G38" s="141"/>
      <c r="H38" s="141"/>
      <c r="I38" s="141"/>
      <c r="J38" s="141"/>
      <c r="K38" s="140"/>
      <c r="L38" s="136">
        <v>549000000</v>
      </c>
      <c r="M38" s="137"/>
      <c r="N38" s="138"/>
      <c r="O38" s="136">
        <v>0</v>
      </c>
      <c r="P38" s="137"/>
      <c r="Q38" s="138"/>
      <c r="R38" s="136">
        <v>1900242640</v>
      </c>
      <c r="S38" s="137"/>
      <c r="T38" s="138"/>
      <c r="U38" s="136">
        <v>395242640</v>
      </c>
      <c r="V38" s="137"/>
      <c r="W38" s="138"/>
      <c r="X38" s="136">
        <v>2054000000</v>
      </c>
      <c r="Y38" s="137"/>
      <c r="Z38" s="138"/>
      <c r="AA38" s="136">
        <v>0</v>
      </c>
      <c r="AB38" s="137"/>
      <c r="AC38" s="138"/>
      <c r="AD38" s="1">
        <v>0</v>
      </c>
    </row>
    <row r="39" spans="1:30" ht="15" customHeight="1" x14ac:dyDescent="0.2">
      <c r="A39" s="139" t="s">
        <v>422</v>
      </c>
      <c r="B39" s="140"/>
      <c r="C39" s="139" t="s">
        <v>423</v>
      </c>
      <c r="D39" s="141"/>
      <c r="E39" s="141"/>
      <c r="F39" s="141"/>
      <c r="G39" s="141"/>
      <c r="H39" s="141"/>
      <c r="I39" s="141"/>
      <c r="J39" s="141"/>
      <c r="K39" s="140"/>
      <c r="L39" s="136">
        <v>549000000</v>
      </c>
      <c r="M39" s="137"/>
      <c r="N39" s="138"/>
      <c r="O39" s="136">
        <v>0</v>
      </c>
      <c r="P39" s="137"/>
      <c r="Q39" s="138"/>
      <c r="R39" s="136">
        <v>1900242640</v>
      </c>
      <c r="S39" s="137"/>
      <c r="T39" s="138"/>
      <c r="U39" s="136">
        <v>395242640</v>
      </c>
      <c r="V39" s="137"/>
      <c r="W39" s="138"/>
      <c r="X39" s="136">
        <v>2054000000</v>
      </c>
      <c r="Y39" s="137"/>
      <c r="Z39" s="138"/>
      <c r="AA39" s="136">
        <v>0</v>
      </c>
      <c r="AB39" s="137"/>
      <c r="AC39" s="138"/>
      <c r="AD39" s="1">
        <v>0</v>
      </c>
    </row>
    <row r="40" spans="1:30" ht="15" customHeight="1" x14ac:dyDescent="0.2">
      <c r="A40" s="139" t="s">
        <v>424</v>
      </c>
      <c r="B40" s="140"/>
      <c r="C40" s="139" t="s">
        <v>425</v>
      </c>
      <c r="D40" s="141"/>
      <c r="E40" s="141"/>
      <c r="F40" s="141"/>
      <c r="G40" s="141"/>
      <c r="H40" s="141"/>
      <c r="I40" s="141"/>
      <c r="J40" s="141"/>
      <c r="K40" s="140"/>
      <c r="L40" s="136">
        <v>549000000</v>
      </c>
      <c r="M40" s="137"/>
      <c r="N40" s="138"/>
      <c r="O40" s="136">
        <v>0</v>
      </c>
      <c r="P40" s="137"/>
      <c r="Q40" s="138"/>
      <c r="R40" s="136">
        <v>1900242640</v>
      </c>
      <c r="S40" s="137"/>
      <c r="T40" s="138"/>
      <c r="U40" s="136">
        <v>395242640</v>
      </c>
      <c r="V40" s="137"/>
      <c r="W40" s="138"/>
      <c r="X40" s="136">
        <v>2054000000</v>
      </c>
      <c r="Y40" s="137"/>
      <c r="Z40" s="138"/>
      <c r="AA40" s="136">
        <v>0</v>
      </c>
      <c r="AB40" s="137"/>
      <c r="AC40" s="138"/>
      <c r="AD40" s="1">
        <v>0</v>
      </c>
    </row>
    <row r="41" spans="1:30" ht="15" customHeight="1" x14ac:dyDescent="0.2">
      <c r="A41" s="139" t="s">
        <v>65</v>
      </c>
      <c r="B41" s="140"/>
      <c r="C41" s="139" t="s">
        <v>426</v>
      </c>
      <c r="D41" s="141"/>
      <c r="E41" s="141"/>
      <c r="F41" s="141"/>
      <c r="G41" s="141"/>
      <c r="H41" s="141"/>
      <c r="I41" s="141"/>
      <c r="J41" s="141"/>
      <c r="K41" s="140"/>
      <c r="L41" s="136">
        <v>19217339574</v>
      </c>
      <c r="M41" s="137"/>
      <c r="N41" s="138"/>
      <c r="O41" s="136">
        <v>875000</v>
      </c>
      <c r="P41" s="137"/>
      <c r="Q41" s="138"/>
      <c r="R41" s="136">
        <v>49298747547</v>
      </c>
      <c r="S41" s="137"/>
      <c r="T41" s="138"/>
      <c r="U41" s="136">
        <v>47281641783</v>
      </c>
      <c r="V41" s="137"/>
      <c r="W41" s="138"/>
      <c r="X41" s="136">
        <v>21237047738</v>
      </c>
      <c r="Y41" s="137"/>
      <c r="Z41" s="138"/>
      <c r="AA41" s="136">
        <v>3477400</v>
      </c>
      <c r="AB41" s="137"/>
      <c r="AC41" s="138"/>
      <c r="AD41" s="1">
        <v>1</v>
      </c>
    </row>
    <row r="42" spans="1:30" ht="15" customHeight="1" x14ac:dyDescent="0.2">
      <c r="A42" s="139" t="s">
        <v>73</v>
      </c>
      <c r="B42" s="140"/>
      <c r="C42" s="139" t="s">
        <v>427</v>
      </c>
      <c r="D42" s="141"/>
      <c r="E42" s="141"/>
      <c r="F42" s="141"/>
      <c r="G42" s="141"/>
      <c r="H42" s="141"/>
      <c r="I42" s="141"/>
      <c r="J42" s="141"/>
      <c r="K42" s="140"/>
      <c r="L42" s="136">
        <v>2847507367</v>
      </c>
      <c r="M42" s="137"/>
      <c r="N42" s="138"/>
      <c r="O42" s="136">
        <v>0</v>
      </c>
      <c r="P42" s="137"/>
      <c r="Q42" s="138"/>
      <c r="R42" s="136">
        <v>6917877462</v>
      </c>
      <c r="S42" s="137"/>
      <c r="T42" s="138"/>
      <c r="U42" s="136">
        <v>8001751625</v>
      </c>
      <c r="V42" s="137"/>
      <c r="W42" s="138"/>
      <c r="X42" s="136">
        <v>1763633204</v>
      </c>
      <c r="Y42" s="137"/>
      <c r="Z42" s="138"/>
      <c r="AA42" s="136">
        <v>0</v>
      </c>
      <c r="AB42" s="137"/>
      <c r="AC42" s="138"/>
      <c r="AD42" s="1">
        <v>1</v>
      </c>
    </row>
    <row r="43" spans="1:30" ht="15" customHeight="1" x14ac:dyDescent="0.2">
      <c r="A43" s="139" t="s">
        <v>428</v>
      </c>
      <c r="B43" s="140"/>
      <c r="C43" s="139" t="s">
        <v>429</v>
      </c>
      <c r="D43" s="141"/>
      <c r="E43" s="141"/>
      <c r="F43" s="141"/>
      <c r="G43" s="141"/>
      <c r="H43" s="141"/>
      <c r="I43" s="141"/>
      <c r="J43" s="141"/>
      <c r="K43" s="140"/>
      <c r="L43" s="136">
        <v>2066675865</v>
      </c>
      <c r="M43" s="137"/>
      <c r="N43" s="138"/>
      <c r="O43" s="136">
        <v>0</v>
      </c>
      <c r="P43" s="137"/>
      <c r="Q43" s="138"/>
      <c r="R43" s="136">
        <v>4365703035</v>
      </c>
      <c r="S43" s="137"/>
      <c r="T43" s="138"/>
      <c r="U43" s="136">
        <v>5320120939</v>
      </c>
      <c r="V43" s="137"/>
      <c r="W43" s="138"/>
      <c r="X43" s="136">
        <v>1112257961</v>
      </c>
      <c r="Y43" s="137"/>
      <c r="Z43" s="138"/>
      <c r="AA43" s="136">
        <v>0</v>
      </c>
      <c r="AB43" s="137"/>
      <c r="AC43" s="138"/>
      <c r="AD43" s="1">
        <v>0</v>
      </c>
    </row>
    <row r="44" spans="1:30" ht="15" customHeight="1" x14ac:dyDescent="0.2">
      <c r="A44" s="139" t="s">
        <v>430</v>
      </c>
      <c r="B44" s="140"/>
      <c r="C44" s="139" t="s">
        <v>431</v>
      </c>
      <c r="D44" s="141"/>
      <c r="E44" s="141"/>
      <c r="F44" s="141"/>
      <c r="G44" s="141"/>
      <c r="H44" s="141"/>
      <c r="I44" s="141"/>
      <c r="J44" s="141"/>
      <c r="K44" s="140"/>
      <c r="L44" s="136">
        <v>556711433</v>
      </c>
      <c r="M44" s="137"/>
      <c r="N44" s="138"/>
      <c r="O44" s="136">
        <v>0</v>
      </c>
      <c r="P44" s="137"/>
      <c r="Q44" s="138"/>
      <c r="R44" s="136">
        <v>1966076360</v>
      </c>
      <c r="S44" s="137"/>
      <c r="T44" s="138"/>
      <c r="U44" s="136">
        <v>2008264607</v>
      </c>
      <c r="V44" s="137"/>
      <c r="W44" s="138"/>
      <c r="X44" s="136">
        <v>514523186</v>
      </c>
      <c r="Y44" s="137"/>
      <c r="Z44" s="138"/>
      <c r="AA44" s="136">
        <v>0</v>
      </c>
      <c r="AB44" s="137"/>
      <c r="AC44" s="138"/>
      <c r="AD44" s="1">
        <v>0</v>
      </c>
    </row>
    <row r="45" spans="1:30" ht="15" customHeight="1" x14ac:dyDescent="0.2">
      <c r="A45" s="139" t="s">
        <v>432</v>
      </c>
      <c r="B45" s="140"/>
      <c r="C45" s="139" t="s">
        <v>433</v>
      </c>
      <c r="D45" s="141"/>
      <c r="E45" s="141"/>
      <c r="F45" s="141"/>
      <c r="G45" s="141"/>
      <c r="H45" s="141"/>
      <c r="I45" s="141"/>
      <c r="J45" s="141"/>
      <c r="K45" s="140"/>
      <c r="L45" s="136">
        <v>127123404</v>
      </c>
      <c r="M45" s="137"/>
      <c r="N45" s="138"/>
      <c r="O45" s="136">
        <v>0</v>
      </c>
      <c r="P45" s="137"/>
      <c r="Q45" s="138"/>
      <c r="R45" s="136">
        <v>112699721</v>
      </c>
      <c r="S45" s="137"/>
      <c r="T45" s="138"/>
      <c r="U45" s="136">
        <v>148664859</v>
      </c>
      <c r="V45" s="137"/>
      <c r="W45" s="138"/>
      <c r="X45" s="136">
        <v>91158266</v>
      </c>
      <c r="Y45" s="137"/>
      <c r="Z45" s="138"/>
      <c r="AA45" s="136">
        <v>0</v>
      </c>
      <c r="AB45" s="137"/>
      <c r="AC45" s="138"/>
      <c r="AD45" s="1">
        <v>0</v>
      </c>
    </row>
    <row r="46" spans="1:30" ht="15" customHeight="1" x14ac:dyDescent="0.2">
      <c r="A46" s="139" t="s">
        <v>434</v>
      </c>
      <c r="B46" s="140"/>
      <c r="C46" s="139" t="s">
        <v>435</v>
      </c>
      <c r="D46" s="141"/>
      <c r="E46" s="141"/>
      <c r="F46" s="141"/>
      <c r="G46" s="141"/>
      <c r="H46" s="141"/>
      <c r="I46" s="141"/>
      <c r="J46" s="141"/>
      <c r="K46" s="140"/>
      <c r="L46" s="136">
        <v>84252790</v>
      </c>
      <c r="M46" s="137"/>
      <c r="N46" s="138"/>
      <c r="O46" s="136">
        <v>0</v>
      </c>
      <c r="P46" s="137"/>
      <c r="Q46" s="138"/>
      <c r="R46" s="136">
        <v>0</v>
      </c>
      <c r="S46" s="137"/>
      <c r="T46" s="138"/>
      <c r="U46" s="136">
        <v>54146110</v>
      </c>
      <c r="V46" s="137"/>
      <c r="W46" s="138"/>
      <c r="X46" s="136">
        <v>30106680</v>
      </c>
      <c r="Y46" s="137"/>
      <c r="Z46" s="138"/>
      <c r="AA46" s="136">
        <v>0</v>
      </c>
      <c r="AB46" s="137"/>
      <c r="AC46" s="138"/>
      <c r="AD46" s="1">
        <v>0</v>
      </c>
    </row>
    <row r="47" spans="1:30" ht="15" customHeight="1" x14ac:dyDescent="0.2">
      <c r="A47" s="139" t="s">
        <v>436</v>
      </c>
      <c r="B47" s="140"/>
      <c r="C47" s="139" t="s">
        <v>437</v>
      </c>
      <c r="D47" s="141"/>
      <c r="E47" s="141"/>
      <c r="F47" s="141"/>
      <c r="G47" s="141"/>
      <c r="H47" s="141"/>
      <c r="I47" s="141"/>
      <c r="J47" s="141"/>
      <c r="K47" s="140"/>
      <c r="L47" s="136">
        <v>12743875</v>
      </c>
      <c r="M47" s="137"/>
      <c r="N47" s="138"/>
      <c r="O47" s="136">
        <v>0</v>
      </c>
      <c r="P47" s="137"/>
      <c r="Q47" s="138"/>
      <c r="R47" s="136">
        <v>473398346</v>
      </c>
      <c r="S47" s="137"/>
      <c r="T47" s="138"/>
      <c r="U47" s="136">
        <v>470555110</v>
      </c>
      <c r="V47" s="137"/>
      <c r="W47" s="138"/>
      <c r="X47" s="136">
        <v>15587111</v>
      </c>
      <c r="Y47" s="137"/>
      <c r="Z47" s="138"/>
      <c r="AA47" s="136">
        <v>0</v>
      </c>
      <c r="AB47" s="137"/>
      <c r="AC47" s="138"/>
      <c r="AD47" s="1">
        <v>0</v>
      </c>
    </row>
    <row r="48" spans="1:30" ht="15" customHeight="1" x14ac:dyDescent="0.2">
      <c r="A48" s="139" t="s">
        <v>75</v>
      </c>
      <c r="B48" s="140"/>
      <c r="C48" s="139" t="s">
        <v>438</v>
      </c>
      <c r="D48" s="141"/>
      <c r="E48" s="141"/>
      <c r="F48" s="141"/>
      <c r="G48" s="141"/>
      <c r="H48" s="141"/>
      <c r="I48" s="141"/>
      <c r="J48" s="141"/>
      <c r="K48" s="140"/>
      <c r="L48" s="136">
        <v>50601250</v>
      </c>
      <c r="M48" s="137"/>
      <c r="N48" s="138"/>
      <c r="O48" s="136">
        <v>0</v>
      </c>
      <c r="P48" s="137"/>
      <c r="Q48" s="138"/>
      <c r="R48" s="136">
        <v>276516226</v>
      </c>
      <c r="S48" s="137"/>
      <c r="T48" s="138"/>
      <c r="U48" s="136">
        <v>229860567</v>
      </c>
      <c r="V48" s="137"/>
      <c r="W48" s="138"/>
      <c r="X48" s="136">
        <v>97256909</v>
      </c>
      <c r="Y48" s="137"/>
      <c r="Z48" s="138"/>
      <c r="AA48" s="136">
        <v>0</v>
      </c>
      <c r="AB48" s="137"/>
      <c r="AC48" s="138"/>
      <c r="AD48" s="1">
        <v>1</v>
      </c>
    </row>
    <row r="49" spans="1:30" ht="15" customHeight="1" x14ac:dyDescent="0.2">
      <c r="A49" s="139" t="s">
        <v>439</v>
      </c>
      <c r="B49" s="140"/>
      <c r="C49" s="139" t="s">
        <v>440</v>
      </c>
      <c r="D49" s="141"/>
      <c r="E49" s="141"/>
      <c r="F49" s="141"/>
      <c r="G49" s="141"/>
      <c r="H49" s="141"/>
      <c r="I49" s="141"/>
      <c r="J49" s="141"/>
      <c r="K49" s="140"/>
      <c r="L49" s="136">
        <v>6980580</v>
      </c>
      <c r="M49" s="137"/>
      <c r="N49" s="138"/>
      <c r="O49" s="136">
        <v>0</v>
      </c>
      <c r="P49" s="137"/>
      <c r="Q49" s="138"/>
      <c r="R49" s="136">
        <v>191873500</v>
      </c>
      <c r="S49" s="137"/>
      <c r="T49" s="138"/>
      <c r="U49" s="136">
        <v>174872602</v>
      </c>
      <c r="V49" s="137"/>
      <c r="W49" s="138"/>
      <c r="X49" s="136">
        <v>23981478</v>
      </c>
      <c r="Y49" s="137"/>
      <c r="Z49" s="138"/>
      <c r="AA49" s="136">
        <v>0</v>
      </c>
      <c r="AB49" s="137"/>
      <c r="AC49" s="138"/>
      <c r="AD49" s="1">
        <v>0</v>
      </c>
    </row>
    <row r="50" spans="1:30" ht="15" customHeight="1" x14ac:dyDescent="0.2">
      <c r="A50" s="139" t="s">
        <v>441</v>
      </c>
      <c r="B50" s="140"/>
      <c r="C50" s="139" t="s">
        <v>442</v>
      </c>
      <c r="D50" s="141"/>
      <c r="E50" s="141"/>
      <c r="F50" s="141"/>
      <c r="G50" s="141"/>
      <c r="H50" s="141"/>
      <c r="I50" s="141"/>
      <c r="J50" s="141"/>
      <c r="K50" s="140"/>
      <c r="L50" s="136">
        <v>43620670</v>
      </c>
      <c r="M50" s="137"/>
      <c r="N50" s="138"/>
      <c r="O50" s="136">
        <v>0</v>
      </c>
      <c r="P50" s="137"/>
      <c r="Q50" s="138"/>
      <c r="R50" s="136">
        <v>84642726</v>
      </c>
      <c r="S50" s="137"/>
      <c r="T50" s="138"/>
      <c r="U50" s="136">
        <v>54987965</v>
      </c>
      <c r="V50" s="137"/>
      <c r="W50" s="138"/>
      <c r="X50" s="136">
        <v>73275431</v>
      </c>
      <c r="Y50" s="137"/>
      <c r="Z50" s="138"/>
      <c r="AA50" s="136">
        <v>0</v>
      </c>
      <c r="AB50" s="137"/>
      <c r="AC50" s="138"/>
      <c r="AD50" s="1">
        <v>0</v>
      </c>
    </row>
    <row r="51" spans="1:30" ht="15" customHeight="1" x14ac:dyDescent="0.2">
      <c r="A51" s="139" t="s">
        <v>443</v>
      </c>
      <c r="B51" s="140"/>
      <c r="C51" s="139" t="s">
        <v>444</v>
      </c>
      <c r="D51" s="141"/>
      <c r="E51" s="141"/>
      <c r="F51" s="141"/>
      <c r="G51" s="141"/>
      <c r="H51" s="141"/>
      <c r="I51" s="141"/>
      <c r="J51" s="141"/>
      <c r="K51" s="140"/>
      <c r="L51" s="136">
        <v>0</v>
      </c>
      <c r="M51" s="137"/>
      <c r="N51" s="138"/>
      <c r="O51" s="136">
        <v>0</v>
      </c>
      <c r="P51" s="137"/>
      <c r="Q51" s="138"/>
      <c r="R51" s="136">
        <v>18472248289</v>
      </c>
      <c r="S51" s="137"/>
      <c r="T51" s="138"/>
      <c r="U51" s="136">
        <v>18472248289</v>
      </c>
      <c r="V51" s="137"/>
      <c r="W51" s="138"/>
      <c r="X51" s="136">
        <v>0</v>
      </c>
      <c r="Y51" s="137"/>
      <c r="Z51" s="138"/>
      <c r="AA51" s="136">
        <v>0</v>
      </c>
      <c r="AB51" s="137"/>
      <c r="AC51" s="138"/>
      <c r="AD51" s="1">
        <v>1</v>
      </c>
    </row>
    <row r="52" spans="1:30" ht="15" customHeight="1" x14ac:dyDescent="0.2">
      <c r="A52" s="139" t="s">
        <v>445</v>
      </c>
      <c r="B52" s="140"/>
      <c r="C52" s="139" t="s">
        <v>446</v>
      </c>
      <c r="D52" s="141"/>
      <c r="E52" s="141"/>
      <c r="F52" s="141"/>
      <c r="G52" s="141"/>
      <c r="H52" s="141"/>
      <c r="I52" s="141"/>
      <c r="J52" s="141"/>
      <c r="K52" s="140"/>
      <c r="L52" s="136">
        <v>465041753</v>
      </c>
      <c r="M52" s="137"/>
      <c r="N52" s="138"/>
      <c r="O52" s="136">
        <v>0</v>
      </c>
      <c r="P52" s="137"/>
      <c r="Q52" s="138"/>
      <c r="R52" s="136">
        <v>997853275</v>
      </c>
      <c r="S52" s="137"/>
      <c r="T52" s="138"/>
      <c r="U52" s="136">
        <v>1044239815</v>
      </c>
      <c r="V52" s="137"/>
      <c r="W52" s="138"/>
      <c r="X52" s="136">
        <v>418655213</v>
      </c>
      <c r="Y52" s="137"/>
      <c r="Z52" s="138"/>
      <c r="AA52" s="136">
        <v>0</v>
      </c>
      <c r="AB52" s="137"/>
      <c r="AC52" s="138"/>
      <c r="AD52" s="1">
        <v>1</v>
      </c>
    </row>
    <row r="53" spans="1:30" ht="15" customHeight="1" x14ac:dyDescent="0.2">
      <c r="A53" s="139" t="s">
        <v>447</v>
      </c>
      <c r="B53" s="140"/>
      <c r="C53" s="139" t="s">
        <v>448</v>
      </c>
      <c r="D53" s="141"/>
      <c r="E53" s="141"/>
      <c r="F53" s="141"/>
      <c r="G53" s="141"/>
      <c r="H53" s="141"/>
      <c r="I53" s="141"/>
      <c r="J53" s="141"/>
      <c r="K53" s="140"/>
      <c r="L53" s="136">
        <v>327239237</v>
      </c>
      <c r="M53" s="137"/>
      <c r="N53" s="138"/>
      <c r="O53" s="136">
        <v>0</v>
      </c>
      <c r="P53" s="137"/>
      <c r="Q53" s="138"/>
      <c r="R53" s="136">
        <v>531029651</v>
      </c>
      <c r="S53" s="137"/>
      <c r="T53" s="138"/>
      <c r="U53" s="136">
        <v>623711262</v>
      </c>
      <c r="V53" s="137"/>
      <c r="W53" s="138"/>
      <c r="X53" s="136">
        <v>234557626</v>
      </c>
      <c r="Y53" s="137"/>
      <c r="Z53" s="138"/>
      <c r="AA53" s="136">
        <v>0</v>
      </c>
      <c r="AB53" s="137"/>
      <c r="AC53" s="138"/>
      <c r="AD53" s="1">
        <v>0</v>
      </c>
    </row>
    <row r="54" spans="1:30" ht="15" customHeight="1" x14ac:dyDescent="0.2">
      <c r="A54" s="139" t="s">
        <v>449</v>
      </c>
      <c r="B54" s="140"/>
      <c r="C54" s="139" t="s">
        <v>450</v>
      </c>
      <c r="D54" s="141"/>
      <c r="E54" s="141"/>
      <c r="F54" s="141"/>
      <c r="G54" s="141"/>
      <c r="H54" s="141"/>
      <c r="I54" s="141"/>
      <c r="J54" s="141"/>
      <c r="K54" s="140"/>
      <c r="L54" s="136">
        <v>8984232</v>
      </c>
      <c r="M54" s="137"/>
      <c r="N54" s="138"/>
      <c r="O54" s="136">
        <v>0</v>
      </c>
      <c r="P54" s="137"/>
      <c r="Q54" s="138"/>
      <c r="R54" s="136">
        <v>51062480</v>
      </c>
      <c r="S54" s="137"/>
      <c r="T54" s="138"/>
      <c r="U54" s="136">
        <v>47231402</v>
      </c>
      <c r="V54" s="137"/>
      <c r="W54" s="138"/>
      <c r="X54" s="136">
        <v>12815310</v>
      </c>
      <c r="Y54" s="137"/>
      <c r="Z54" s="138"/>
      <c r="AA54" s="136">
        <v>0</v>
      </c>
      <c r="AB54" s="137"/>
      <c r="AC54" s="138"/>
      <c r="AD54" s="1">
        <v>0</v>
      </c>
    </row>
    <row r="55" spans="1:30" ht="15" customHeight="1" x14ac:dyDescent="0.2">
      <c r="A55" s="139" t="s">
        <v>451</v>
      </c>
      <c r="B55" s="140"/>
      <c r="C55" s="139" t="s">
        <v>452</v>
      </c>
      <c r="D55" s="141"/>
      <c r="E55" s="141"/>
      <c r="F55" s="141"/>
      <c r="G55" s="141"/>
      <c r="H55" s="141"/>
      <c r="I55" s="141"/>
      <c r="J55" s="141"/>
      <c r="K55" s="140"/>
      <c r="L55" s="136">
        <v>128818284</v>
      </c>
      <c r="M55" s="137"/>
      <c r="N55" s="138"/>
      <c r="O55" s="136">
        <v>0</v>
      </c>
      <c r="P55" s="137"/>
      <c r="Q55" s="138"/>
      <c r="R55" s="136">
        <v>415761144</v>
      </c>
      <c r="S55" s="137"/>
      <c r="T55" s="138"/>
      <c r="U55" s="136">
        <v>373297151</v>
      </c>
      <c r="V55" s="137"/>
      <c r="W55" s="138"/>
      <c r="X55" s="136">
        <v>171282277</v>
      </c>
      <c r="Y55" s="137"/>
      <c r="Z55" s="138"/>
      <c r="AA55" s="136">
        <v>0</v>
      </c>
      <c r="AB55" s="137"/>
      <c r="AC55" s="138"/>
      <c r="AD55" s="1">
        <v>0</v>
      </c>
    </row>
    <row r="56" spans="1:30" ht="15" customHeight="1" x14ac:dyDescent="0.2">
      <c r="A56" s="139" t="s">
        <v>93</v>
      </c>
      <c r="B56" s="140"/>
      <c r="C56" s="139" t="s">
        <v>453</v>
      </c>
      <c r="D56" s="141"/>
      <c r="E56" s="141"/>
      <c r="F56" s="141"/>
      <c r="G56" s="141"/>
      <c r="H56" s="141"/>
      <c r="I56" s="141"/>
      <c r="J56" s="141"/>
      <c r="K56" s="140"/>
      <c r="L56" s="136">
        <v>99555187497</v>
      </c>
      <c r="M56" s="137"/>
      <c r="N56" s="138"/>
      <c r="O56" s="136">
        <v>0</v>
      </c>
      <c r="P56" s="137"/>
      <c r="Q56" s="138"/>
      <c r="R56" s="136">
        <v>321790160</v>
      </c>
      <c r="S56" s="137"/>
      <c r="T56" s="138"/>
      <c r="U56" s="136">
        <v>0</v>
      </c>
      <c r="V56" s="137"/>
      <c r="W56" s="138"/>
      <c r="X56" s="136">
        <v>99876977657</v>
      </c>
      <c r="Y56" s="137"/>
      <c r="Z56" s="138"/>
      <c r="AA56" s="136">
        <v>0</v>
      </c>
      <c r="AB56" s="137"/>
      <c r="AC56" s="138"/>
      <c r="AD56" s="1">
        <v>1</v>
      </c>
    </row>
    <row r="57" spans="1:30" ht="15" customHeight="1" x14ac:dyDescent="0.2">
      <c r="A57" s="139" t="s">
        <v>454</v>
      </c>
      <c r="B57" s="140"/>
      <c r="C57" s="139" t="s">
        <v>455</v>
      </c>
      <c r="D57" s="141"/>
      <c r="E57" s="141"/>
      <c r="F57" s="141"/>
      <c r="G57" s="141"/>
      <c r="H57" s="141"/>
      <c r="I57" s="141"/>
      <c r="J57" s="141"/>
      <c r="K57" s="140"/>
      <c r="L57" s="136">
        <v>55460865355</v>
      </c>
      <c r="M57" s="137"/>
      <c r="N57" s="138"/>
      <c r="O57" s="136">
        <v>0</v>
      </c>
      <c r="P57" s="137"/>
      <c r="Q57" s="138"/>
      <c r="R57" s="136">
        <v>208680840</v>
      </c>
      <c r="S57" s="137"/>
      <c r="T57" s="138"/>
      <c r="U57" s="136">
        <v>0</v>
      </c>
      <c r="V57" s="137"/>
      <c r="W57" s="138"/>
      <c r="X57" s="136">
        <v>55669546195</v>
      </c>
      <c r="Y57" s="137"/>
      <c r="Z57" s="138"/>
      <c r="AA57" s="136">
        <v>0</v>
      </c>
      <c r="AB57" s="137"/>
      <c r="AC57" s="138"/>
      <c r="AD57" s="1">
        <v>0</v>
      </c>
    </row>
    <row r="58" spans="1:30" ht="15" customHeight="1" x14ac:dyDescent="0.2">
      <c r="A58" s="139" t="s">
        <v>456</v>
      </c>
      <c r="B58" s="140"/>
      <c r="C58" s="139" t="s">
        <v>457</v>
      </c>
      <c r="D58" s="141"/>
      <c r="E58" s="141"/>
      <c r="F58" s="141"/>
      <c r="G58" s="141"/>
      <c r="H58" s="141"/>
      <c r="I58" s="141"/>
      <c r="J58" s="141"/>
      <c r="K58" s="140"/>
      <c r="L58" s="136">
        <v>28679073437</v>
      </c>
      <c r="M58" s="137"/>
      <c r="N58" s="138"/>
      <c r="O58" s="136">
        <v>0</v>
      </c>
      <c r="P58" s="137"/>
      <c r="Q58" s="138"/>
      <c r="R58" s="136">
        <v>68000000</v>
      </c>
      <c r="S58" s="137"/>
      <c r="T58" s="138"/>
      <c r="U58" s="136">
        <v>0</v>
      </c>
      <c r="V58" s="137"/>
      <c r="W58" s="138"/>
      <c r="X58" s="136">
        <v>28747073437</v>
      </c>
      <c r="Y58" s="137"/>
      <c r="Z58" s="138"/>
      <c r="AA58" s="136">
        <v>0</v>
      </c>
      <c r="AB58" s="137"/>
      <c r="AC58" s="138"/>
      <c r="AD58" s="1">
        <v>0</v>
      </c>
    </row>
    <row r="59" spans="1:30" ht="15" customHeight="1" x14ac:dyDescent="0.2">
      <c r="A59" s="139" t="s">
        <v>458</v>
      </c>
      <c r="B59" s="140"/>
      <c r="C59" s="139" t="s">
        <v>459</v>
      </c>
      <c r="D59" s="141"/>
      <c r="E59" s="141"/>
      <c r="F59" s="141"/>
      <c r="G59" s="141"/>
      <c r="H59" s="141"/>
      <c r="I59" s="141"/>
      <c r="J59" s="141"/>
      <c r="K59" s="140"/>
      <c r="L59" s="136">
        <v>3385852811</v>
      </c>
      <c r="M59" s="137"/>
      <c r="N59" s="138"/>
      <c r="O59" s="136">
        <v>0</v>
      </c>
      <c r="P59" s="137"/>
      <c r="Q59" s="138"/>
      <c r="R59" s="136">
        <v>0</v>
      </c>
      <c r="S59" s="137"/>
      <c r="T59" s="138"/>
      <c r="U59" s="136">
        <v>0</v>
      </c>
      <c r="V59" s="137"/>
      <c r="W59" s="138"/>
      <c r="X59" s="136">
        <v>3385852811</v>
      </c>
      <c r="Y59" s="137"/>
      <c r="Z59" s="138"/>
      <c r="AA59" s="136">
        <v>0</v>
      </c>
      <c r="AB59" s="137"/>
      <c r="AC59" s="138"/>
      <c r="AD59" s="1">
        <v>0</v>
      </c>
    </row>
    <row r="60" spans="1:30" ht="15" customHeight="1" x14ac:dyDescent="0.2">
      <c r="A60" s="139" t="s">
        <v>460</v>
      </c>
      <c r="B60" s="140"/>
      <c r="C60" s="139" t="s">
        <v>461</v>
      </c>
      <c r="D60" s="141"/>
      <c r="E60" s="141"/>
      <c r="F60" s="141"/>
      <c r="G60" s="141"/>
      <c r="H60" s="141"/>
      <c r="I60" s="141"/>
      <c r="J60" s="141"/>
      <c r="K60" s="140"/>
      <c r="L60" s="136">
        <v>6474495155</v>
      </c>
      <c r="M60" s="137"/>
      <c r="N60" s="138"/>
      <c r="O60" s="136">
        <v>0</v>
      </c>
      <c r="P60" s="137"/>
      <c r="Q60" s="138"/>
      <c r="R60" s="136">
        <v>45109320</v>
      </c>
      <c r="S60" s="137"/>
      <c r="T60" s="138"/>
      <c r="U60" s="136">
        <v>0</v>
      </c>
      <c r="V60" s="137"/>
      <c r="W60" s="138"/>
      <c r="X60" s="136">
        <v>6519604475</v>
      </c>
      <c r="Y60" s="137"/>
      <c r="Z60" s="138"/>
      <c r="AA60" s="136">
        <v>0</v>
      </c>
      <c r="AB60" s="137"/>
      <c r="AC60" s="138"/>
      <c r="AD60" s="1">
        <v>0</v>
      </c>
    </row>
    <row r="61" spans="1:30" ht="15" customHeight="1" x14ac:dyDescent="0.2">
      <c r="A61" s="139" t="s">
        <v>462</v>
      </c>
      <c r="B61" s="140"/>
      <c r="C61" s="139" t="s">
        <v>463</v>
      </c>
      <c r="D61" s="141"/>
      <c r="E61" s="141"/>
      <c r="F61" s="141"/>
      <c r="G61" s="141"/>
      <c r="H61" s="141"/>
      <c r="I61" s="141"/>
      <c r="J61" s="141"/>
      <c r="K61" s="140"/>
      <c r="L61" s="136">
        <v>5554900739</v>
      </c>
      <c r="M61" s="137"/>
      <c r="N61" s="138"/>
      <c r="O61" s="136">
        <v>0</v>
      </c>
      <c r="P61" s="137"/>
      <c r="Q61" s="138"/>
      <c r="R61" s="136">
        <v>0</v>
      </c>
      <c r="S61" s="137"/>
      <c r="T61" s="138"/>
      <c r="U61" s="136">
        <v>0</v>
      </c>
      <c r="V61" s="137"/>
      <c r="W61" s="138"/>
      <c r="X61" s="136">
        <v>5554900739</v>
      </c>
      <c r="Y61" s="137"/>
      <c r="Z61" s="138"/>
      <c r="AA61" s="136">
        <v>0</v>
      </c>
      <c r="AB61" s="137"/>
      <c r="AC61" s="138"/>
      <c r="AD61" s="1">
        <v>0</v>
      </c>
    </row>
    <row r="62" spans="1:30" ht="15" customHeight="1" x14ac:dyDescent="0.2">
      <c r="A62" s="139" t="s">
        <v>97</v>
      </c>
      <c r="B62" s="140"/>
      <c r="C62" s="139" t="s">
        <v>464</v>
      </c>
      <c r="D62" s="141"/>
      <c r="E62" s="141"/>
      <c r="F62" s="141"/>
      <c r="G62" s="141"/>
      <c r="H62" s="141"/>
      <c r="I62" s="141"/>
      <c r="J62" s="141"/>
      <c r="K62" s="140"/>
      <c r="L62" s="136">
        <v>8088714943</v>
      </c>
      <c r="M62" s="137"/>
      <c r="N62" s="138"/>
      <c r="O62" s="136">
        <v>0</v>
      </c>
      <c r="P62" s="137"/>
      <c r="Q62" s="138"/>
      <c r="R62" s="136">
        <v>0</v>
      </c>
      <c r="S62" s="137"/>
      <c r="T62" s="138"/>
      <c r="U62" s="136">
        <v>0</v>
      </c>
      <c r="V62" s="137"/>
      <c r="W62" s="138"/>
      <c r="X62" s="136">
        <v>8088714943</v>
      </c>
      <c r="Y62" s="137"/>
      <c r="Z62" s="138"/>
      <c r="AA62" s="136">
        <v>0</v>
      </c>
      <c r="AB62" s="137"/>
      <c r="AC62" s="138"/>
      <c r="AD62" s="1">
        <v>1</v>
      </c>
    </row>
    <row r="63" spans="1:30" ht="15" customHeight="1" x14ac:dyDescent="0.2">
      <c r="A63" s="139" t="s">
        <v>465</v>
      </c>
      <c r="B63" s="140"/>
      <c r="C63" s="139" t="s">
        <v>466</v>
      </c>
      <c r="D63" s="141"/>
      <c r="E63" s="141"/>
      <c r="F63" s="141"/>
      <c r="G63" s="141"/>
      <c r="H63" s="141"/>
      <c r="I63" s="141"/>
      <c r="J63" s="141"/>
      <c r="K63" s="140"/>
      <c r="L63" s="136">
        <v>8088714943</v>
      </c>
      <c r="M63" s="137"/>
      <c r="N63" s="138"/>
      <c r="O63" s="136">
        <v>0</v>
      </c>
      <c r="P63" s="137"/>
      <c r="Q63" s="138"/>
      <c r="R63" s="136">
        <v>0</v>
      </c>
      <c r="S63" s="137"/>
      <c r="T63" s="138"/>
      <c r="U63" s="136">
        <v>0</v>
      </c>
      <c r="V63" s="137"/>
      <c r="W63" s="138"/>
      <c r="X63" s="136">
        <v>8088714943</v>
      </c>
      <c r="Y63" s="137"/>
      <c r="Z63" s="138"/>
      <c r="AA63" s="136">
        <v>0</v>
      </c>
      <c r="AB63" s="137"/>
      <c r="AC63" s="138"/>
      <c r="AD63" s="1">
        <v>0</v>
      </c>
    </row>
    <row r="64" spans="1:30" ht="15" customHeight="1" x14ac:dyDescent="0.2">
      <c r="A64" s="139" t="s">
        <v>99</v>
      </c>
      <c r="B64" s="140"/>
      <c r="C64" s="139" t="s">
        <v>467</v>
      </c>
      <c r="D64" s="141"/>
      <c r="E64" s="141"/>
      <c r="F64" s="141"/>
      <c r="G64" s="141"/>
      <c r="H64" s="141"/>
      <c r="I64" s="141"/>
      <c r="J64" s="141"/>
      <c r="K64" s="140"/>
      <c r="L64" s="136">
        <v>0</v>
      </c>
      <c r="M64" s="137"/>
      <c r="N64" s="138"/>
      <c r="O64" s="136">
        <v>60194555999</v>
      </c>
      <c r="P64" s="137"/>
      <c r="Q64" s="138"/>
      <c r="R64" s="136">
        <v>0</v>
      </c>
      <c r="S64" s="137"/>
      <c r="T64" s="138"/>
      <c r="U64" s="136">
        <v>1613384640</v>
      </c>
      <c r="V64" s="137"/>
      <c r="W64" s="138"/>
      <c r="X64" s="136">
        <v>0</v>
      </c>
      <c r="Y64" s="137"/>
      <c r="Z64" s="138"/>
      <c r="AA64" s="136">
        <v>61807940639</v>
      </c>
      <c r="AB64" s="137"/>
      <c r="AC64" s="138"/>
      <c r="AD64" s="1">
        <v>1</v>
      </c>
    </row>
    <row r="65" spans="1:30" ht="15" customHeight="1" x14ac:dyDescent="0.2">
      <c r="A65" s="139" t="s">
        <v>468</v>
      </c>
      <c r="B65" s="140"/>
      <c r="C65" s="139" t="s">
        <v>469</v>
      </c>
      <c r="D65" s="141"/>
      <c r="E65" s="141"/>
      <c r="F65" s="141"/>
      <c r="G65" s="141"/>
      <c r="H65" s="141"/>
      <c r="I65" s="141"/>
      <c r="J65" s="141"/>
      <c r="K65" s="140"/>
      <c r="L65" s="136">
        <v>0</v>
      </c>
      <c r="M65" s="137"/>
      <c r="N65" s="138"/>
      <c r="O65" s="136">
        <v>53335841059</v>
      </c>
      <c r="P65" s="137"/>
      <c r="Q65" s="138"/>
      <c r="R65" s="136">
        <v>0</v>
      </c>
      <c r="S65" s="137"/>
      <c r="T65" s="138"/>
      <c r="U65" s="136">
        <v>1305884640</v>
      </c>
      <c r="V65" s="137"/>
      <c r="W65" s="138"/>
      <c r="X65" s="136">
        <v>0</v>
      </c>
      <c r="Y65" s="137"/>
      <c r="Z65" s="138"/>
      <c r="AA65" s="136">
        <v>54641725699</v>
      </c>
      <c r="AB65" s="137"/>
      <c r="AC65" s="138"/>
      <c r="AD65" s="1">
        <v>0</v>
      </c>
    </row>
    <row r="66" spans="1:30" ht="15" customHeight="1" x14ac:dyDescent="0.2">
      <c r="A66" s="139" t="s">
        <v>470</v>
      </c>
      <c r="B66" s="140"/>
      <c r="C66" s="139" t="s">
        <v>471</v>
      </c>
      <c r="D66" s="141"/>
      <c r="E66" s="141"/>
      <c r="F66" s="141"/>
      <c r="G66" s="141"/>
      <c r="H66" s="141"/>
      <c r="I66" s="141"/>
      <c r="J66" s="141"/>
      <c r="K66" s="140"/>
      <c r="L66" s="136">
        <v>0</v>
      </c>
      <c r="M66" s="137"/>
      <c r="N66" s="138"/>
      <c r="O66" s="136">
        <v>11918030574</v>
      </c>
      <c r="P66" s="137"/>
      <c r="Q66" s="138"/>
      <c r="R66" s="136">
        <v>0</v>
      </c>
      <c r="S66" s="137"/>
      <c r="T66" s="138"/>
      <c r="U66" s="136">
        <v>850625970</v>
      </c>
      <c r="V66" s="137"/>
      <c r="W66" s="138"/>
      <c r="X66" s="136">
        <v>0</v>
      </c>
      <c r="Y66" s="137"/>
      <c r="Z66" s="138"/>
      <c r="AA66" s="136">
        <v>12768656544</v>
      </c>
      <c r="AB66" s="137"/>
      <c r="AC66" s="138"/>
      <c r="AD66" s="1">
        <v>0</v>
      </c>
    </row>
    <row r="67" spans="1:30" ht="15" customHeight="1" x14ac:dyDescent="0.2">
      <c r="A67" s="139" t="s">
        <v>472</v>
      </c>
      <c r="B67" s="140"/>
      <c r="C67" s="139" t="s">
        <v>473</v>
      </c>
      <c r="D67" s="141"/>
      <c r="E67" s="141"/>
      <c r="F67" s="141"/>
      <c r="G67" s="141"/>
      <c r="H67" s="141"/>
      <c r="I67" s="141"/>
      <c r="J67" s="141"/>
      <c r="K67" s="140"/>
      <c r="L67" s="136">
        <v>0</v>
      </c>
      <c r="M67" s="137"/>
      <c r="N67" s="138"/>
      <c r="O67" s="136">
        <v>26020987294</v>
      </c>
      <c r="P67" s="137"/>
      <c r="Q67" s="138"/>
      <c r="R67" s="136">
        <v>0</v>
      </c>
      <c r="S67" s="137"/>
      <c r="T67" s="138"/>
      <c r="U67" s="136">
        <v>232305564</v>
      </c>
      <c r="V67" s="137"/>
      <c r="W67" s="138"/>
      <c r="X67" s="136">
        <v>0</v>
      </c>
      <c r="Y67" s="137"/>
      <c r="Z67" s="138"/>
      <c r="AA67" s="136">
        <v>26253292858</v>
      </c>
      <c r="AB67" s="137"/>
      <c r="AC67" s="138"/>
      <c r="AD67" s="1">
        <v>0</v>
      </c>
    </row>
    <row r="68" spans="1:30" ht="15" customHeight="1" x14ac:dyDescent="0.2">
      <c r="A68" s="139" t="s">
        <v>474</v>
      </c>
      <c r="B68" s="140"/>
      <c r="C68" s="139" t="s">
        <v>475</v>
      </c>
      <c r="D68" s="141"/>
      <c r="E68" s="141"/>
      <c r="F68" s="141"/>
      <c r="G68" s="141"/>
      <c r="H68" s="141"/>
      <c r="I68" s="141"/>
      <c r="J68" s="141"/>
      <c r="K68" s="140"/>
      <c r="L68" s="136">
        <v>0</v>
      </c>
      <c r="M68" s="137"/>
      <c r="N68" s="138"/>
      <c r="O68" s="136">
        <v>3385852821</v>
      </c>
      <c r="P68" s="137"/>
      <c r="Q68" s="138"/>
      <c r="R68" s="136">
        <v>0</v>
      </c>
      <c r="S68" s="137"/>
      <c r="T68" s="138"/>
      <c r="U68" s="136">
        <v>0</v>
      </c>
      <c r="V68" s="137"/>
      <c r="W68" s="138"/>
      <c r="X68" s="136">
        <v>0</v>
      </c>
      <c r="Y68" s="137"/>
      <c r="Z68" s="138"/>
      <c r="AA68" s="136">
        <v>3385852821</v>
      </c>
      <c r="AB68" s="137"/>
      <c r="AC68" s="138"/>
      <c r="AD68" s="1">
        <v>0</v>
      </c>
    </row>
    <row r="69" spans="1:30" ht="15" customHeight="1" x14ac:dyDescent="0.2">
      <c r="A69" s="139" t="s">
        <v>476</v>
      </c>
      <c r="B69" s="140"/>
      <c r="C69" s="139" t="s">
        <v>477</v>
      </c>
      <c r="D69" s="141"/>
      <c r="E69" s="141"/>
      <c r="F69" s="141"/>
      <c r="G69" s="141"/>
      <c r="H69" s="141"/>
      <c r="I69" s="141"/>
      <c r="J69" s="141"/>
      <c r="K69" s="140"/>
      <c r="L69" s="136">
        <v>0</v>
      </c>
      <c r="M69" s="137"/>
      <c r="N69" s="138"/>
      <c r="O69" s="136">
        <v>6830433968</v>
      </c>
      <c r="P69" s="137"/>
      <c r="Q69" s="138"/>
      <c r="R69" s="136">
        <v>0</v>
      </c>
      <c r="S69" s="137"/>
      <c r="T69" s="138"/>
      <c r="U69" s="136">
        <v>92729146</v>
      </c>
      <c r="V69" s="137"/>
      <c r="W69" s="138"/>
      <c r="X69" s="136">
        <v>0</v>
      </c>
      <c r="Y69" s="137"/>
      <c r="Z69" s="138"/>
      <c r="AA69" s="136">
        <v>6923163114</v>
      </c>
      <c r="AB69" s="137"/>
      <c r="AC69" s="138"/>
      <c r="AD69" s="1">
        <v>0</v>
      </c>
    </row>
    <row r="70" spans="1:30" ht="15" customHeight="1" x14ac:dyDescent="0.2">
      <c r="A70" s="139" t="s">
        <v>478</v>
      </c>
      <c r="B70" s="140"/>
      <c r="C70" s="139" t="s">
        <v>479</v>
      </c>
      <c r="D70" s="141"/>
      <c r="E70" s="141"/>
      <c r="F70" s="141"/>
      <c r="G70" s="141"/>
      <c r="H70" s="141"/>
      <c r="I70" s="141"/>
      <c r="J70" s="141"/>
      <c r="K70" s="140"/>
      <c r="L70" s="136">
        <v>0</v>
      </c>
      <c r="M70" s="137"/>
      <c r="N70" s="138"/>
      <c r="O70" s="136">
        <v>5180536402</v>
      </c>
      <c r="P70" s="137"/>
      <c r="Q70" s="138"/>
      <c r="R70" s="136">
        <v>0</v>
      </c>
      <c r="S70" s="137"/>
      <c r="T70" s="138"/>
      <c r="U70" s="136">
        <v>130223960</v>
      </c>
      <c r="V70" s="137"/>
      <c r="W70" s="138"/>
      <c r="X70" s="136">
        <v>0</v>
      </c>
      <c r="Y70" s="137"/>
      <c r="Z70" s="138"/>
      <c r="AA70" s="136">
        <v>5310760362</v>
      </c>
      <c r="AB70" s="137"/>
      <c r="AC70" s="138"/>
      <c r="AD70" s="1">
        <v>0</v>
      </c>
    </row>
    <row r="71" spans="1:30" ht="15" customHeight="1" x14ac:dyDescent="0.2">
      <c r="A71" s="139" t="s">
        <v>480</v>
      </c>
      <c r="B71" s="140"/>
      <c r="C71" s="139" t="s">
        <v>481</v>
      </c>
      <c r="D71" s="141"/>
      <c r="E71" s="141"/>
      <c r="F71" s="141"/>
      <c r="G71" s="141"/>
      <c r="H71" s="141"/>
      <c r="I71" s="141"/>
      <c r="J71" s="141"/>
      <c r="K71" s="140"/>
      <c r="L71" s="136">
        <v>0</v>
      </c>
      <c r="M71" s="137"/>
      <c r="N71" s="138"/>
      <c r="O71" s="136">
        <v>6858714940</v>
      </c>
      <c r="P71" s="137"/>
      <c r="Q71" s="138"/>
      <c r="R71" s="136">
        <v>0</v>
      </c>
      <c r="S71" s="137"/>
      <c r="T71" s="138"/>
      <c r="U71" s="136">
        <v>307500000</v>
      </c>
      <c r="V71" s="137"/>
      <c r="W71" s="138"/>
      <c r="X71" s="136">
        <v>0</v>
      </c>
      <c r="Y71" s="137"/>
      <c r="Z71" s="138"/>
      <c r="AA71" s="136">
        <v>7166214940</v>
      </c>
      <c r="AB71" s="137"/>
      <c r="AC71" s="138"/>
      <c r="AD71" s="1">
        <v>0</v>
      </c>
    </row>
    <row r="72" spans="1:30" ht="15" customHeight="1" x14ac:dyDescent="0.2">
      <c r="A72" s="139" t="s">
        <v>482</v>
      </c>
      <c r="B72" s="140"/>
      <c r="C72" s="139" t="s">
        <v>483</v>
      </c>
      <c r="D72" s="141"/>
      <c r="E72" s="141"/>
      <c r="F72" s="141"/>
      <c r="G72" s="141"/>
      <c r="H72" s="141"/>
      <c r="I72" s="141"/>
      <c r="J72" s="141"/>
      <c r="K72" s="140"/>
      <c r="L72" s="136">
        <v>0</v>
      </c>
      <c r="M72" s="137"/>
      <c r="N72" s="138"/>
      <c r="O72" s="136">
        <v>6858714940</v>
      </c>
      <c r="P72" s="137"/>
      <c r="Q72" s="138"/>
      <c r="R72" s="136">
        <v>0</v>
      </c>
      <c r="S72" s="137"/>
      <c r="T72" s="138"/>
      <c r="U72" s="136">
        <v>307500000</v>
      </c>
      <c r="V72" s="137"/>
      <c r="W72" s="138"/>
      <c r="X72" s="136">
        <v>0</v>
      </c>
      <c r="Y72" s="137"/>
      <c r="Z72" s="138"/>
      <c r="AA72" s="136">
        <v>7166214940</v>
      </c>
      <c r="AB72" s="137"/>
      <c r="AC72" s="138"/>
      <c r="AD72" s="1">
        <v>0</v>
      </c>
    </row>
    <row r="73" spans="1:30" ht="15" customHeight="1" x14ac:dyDescent="0.2">
      <c r="A73" s="139" t="s">
        <v>141</v>
      </c>
      <c r="B73" s="140"/>
      <c r="C73" s="139" t="s">
        <v>484</v>
      </c>
      <c r="D73" s="141"/>
      <c r="E73" s="141"/>
      <c r="F73" s="141"/>
      <c r="G73" s="141"/>
      <c r="H73" s="141"/>
      <c r="I73" s="141"/>
      <c r="J73" s="141"/>
      <c r="K73" s="140"/>
      <c r="L73" s="136">
        <v>366201468</v>
      </c>
      <c r="M73" s="137"/>
      <c r="N73" s="138"/>
      <c r="O73" s="136">
        <v>0</v>
      </c>
      <c r="P73" s="137"/>
      <c r="Q73" s="138"/>
      <c r="R73" s="136">
        <v>115830000</v>
      </c>
      <c r="S73" s="137"/>
      <c r="T73" s="138"/>
      <c r="U73" s="136">
        <v>185572972</v>
      </c>
      <c r="V73" s="137"/>
      <c r="W73" s="138"/>
      <c r="X73" s="136">
        <v>296458496</v>
      </c>
      <c r="Y73" s="137"/>
      <c r="Z73" s="138"/>
      <c r="AA73" s="136">
        <v>0</v>
      </c>
      <c r="AB73" s="137"/>
      <c r="AC73" s="138"/>
      <c r="AD73" s="1">
        <v>1</v>
      </c>
    </row>
    <row r="74" spans="1:30" ht="15" customHeight="1" x14ac:dyDescent="0.2">
      <c r="A74" s="139" t="s">
        <v>485</v>
      </c>
      <c r="B74" s="140"/>
      <c r="C74" s="139" t="s">
        <v>486</v>
      </c>
      <c r="D74" s="141"/>
      <c r="E74" s="141"/>
      <c r="F74" s="141"/>
      <c r="G74" s="141"/>
      <c r="H74" s="141"/>
      <c r="I74" s="141"/>
      <c r="J74" s="141"/>
      <c r="K74" s="140"/>
      <c r="L74" s="136">
        <v>2868750</v>
      </c>
      <c r="M74" s="137"/>
      <c r="N74" s="138"/>
      <c r="O74" s="136">
        <v>0</v>
      </c>
      <c r="P74" s="137"/>
      <c r="Q74" s="138"/>
      <c r="R74" s="136">
        <v>0</v>
      </c>
      <c r="S74" s="137"/>
      <c r="T74" s="138"/>
      <c r="U74" s="136">
        <v>2868750</v>
      </c>
      <c r="V74" s="137"/>
      <c r="W74" s="138"/>
      <c r="X74" s="136">
        <v>0</v>
      </c>
      <c r="Y74" s="137"/>
      <c r="Z74" s="138"/>
      <c r="AA74" s="136">
        <v>0</v>
      </c>
      <c r="AB74" s="137"/>
      <c r="AC74" s="138"/>
      <c r="AD74" s="1">
        <v>0</v>
      </c>
    </row>
    <row r="75" spans="1:30" ht="15" customHeight="1" x14ac:dyDescent="0.2">
      <c r="A75" s="139" t="s">
        <v>487</v>
      </c>
      <c r="B75" s="140"/>
      <c r="C75" s="139" t="s">
        <v>488</v>
      </c>
      <c r="D75" s="141"/>
      <c r="E75" s="141"/>
      <c r="F75" s="141"/>
      <c r="G75" s="141"/>
      <c r="H75" s="141"/>
      <c r="I75" s="141"/>
      <c r="J75" s="141"/>
      <c r="K75" s="140"/>
      <c r="L75" s="136">
        <v>2868750</v>
      </c>
      <c r="M75" s="137"/>
      <c r="N75" s="138"/>
      <c r="O75" s="136">
        <v>0</v>
      </c>
      <c r="P75" s="137"/>
      <c r="Q75" s="138"/>
      <c r="R75" s="136">
        <v>0</v>
      </c>
      <c r="S75" s="137"/>
      <c r="T75" s="138"/>
      <c r="U75" s="136">
        <v>2868750</v>
      </c>
      <c r="V75" s="137"/>
      <c r="W75" s="138"/>
      <c r="X75" s="136">
        <v>0</v>
      </c>
      <c r="Y75" s="137"/>
      <c r="Z75" s="138"/>
      <c r="AA75" s="136">
        <v>0</v>
      </c>
      <c r="AB75" s="137"/>
      <c r="AC75" s="138"/>
      <c r="AD75" s="1">
        <v>0</v>
      </c>
    </row>
    <row r="76" spans="1:30" ht="15" customHeight="1" x14ac:dyDescent="0.2">
      <c r="A76" s="139" t="s">
        <v>489</v>
      </c>
      <c r="B76" s="140"/>
      <c r="C76" s="139" t="s">
        <v>490</v>
      </c>
      <c r="D76" s="141"/>
      <c r="E76" s="141"/>
      <c r="F76" s="141"/>
      <c r="G76" s="141"/>
      <c r="H76" s="141"/>
      <c r="I76" s="141"/>
      <c r="J76" s="141"/>
      <c r="K76" s="140"/>
      <c r="L76" s="136">
        <v>363332718</v>
      </c>
      <c r="M76" s="137"/>
      <c r="N76" s="138"/>
      <c r="O76" s="136">
        <v>0</v>
      </c>
      <c r="P76" s="137"/>
      <c r="Q76" s="138"/>
      <c r="R76" s="136">
        <v>115830000</v>
      </c>
      <c r="S76" s="137"/>
      <c r="T76" s="138"/>
      <c r="U76" s="136">
        <v>182704222</v>
      </c>
      <c r="V76" s="137"/>
      <c r="W76" s="138"/>
      <c r="X76" s="136">
        <v>296458496</v>
      </c>
      <c r="Y76" s="137"/>
      <c r="Z76" s="138"/>
      <c r="AA76" s="136">
        <v>0</v>
      </c>
      <c r="AB76" s="137"/>
      <c r="AC76" s="138"/>
      <c r="AD76" s="1">
        <v>0</v>
      </c>
    </row>
    <row r="77" spans="1:30" ht="15" customHeight="1" x14ac:dyDescent="0.2">
      <c r="A77" s="139" t="s">
        <v>491</v>
      </c>
      <c r="B77" s="140"/>
      <c r="C77" s="139" t="s">
        <v>488</v>
      </c>
      <c r="D77" s="141"/>
      <c r="E77" s="141"/>
      <c r="F77" s="141"/>
      <c r="G77" s="141"/>
      <c r="H77" s="141"/>
      <c r="I77" s="141"/>
      <c r="J77" s="141"/>
      <c r="K77" s="140"/>
      <c r="L77" s="136">
        <v>363332718</v>
      </c>
      <c r="M77" s="137"/>
      <c r="N77" s="138"/>
      <c r="O77" s="136">
        <v>0</v>
      </c>
      <c r="P77" s="137"/>
      <c r="Q77" s="138"/>
      <c r="R77" s="136">
        <v>115830000</v>
      </c>
      <c r="S77" s="137"/>
      <c r="T77" s="138"/>
      <c r="U77" s="136">
        <v>182704222</v>
      </c>
      <c r="V77" s="137"/>
      <c r="W77" s="138"/>
      <c r="X77" s="136">
        <v>296458496</v>
      </c>
      <c r="Y77" s="137"/>
      <c r="Z77" s="138"/>
      <c r="AA77" s="136">
        <v>0</v>
      </c>
      <c r="AB77" s="137"/>
      <c r="AC77" s="138"/>
      <c r="AD77" s="1">
        <v>0</v>
      </c>
    </row>
    <row r="78" spans="1:30" ht="15" customHeight="1" x14ac:dyDescent="0.2">
      <c r="A78" s="139" t="s">
        <v>211</v>
      </c>
      <c r="B78" s="140"/>
      <c r="C78" s="139" t="s">
        <v>492</v>
      </c>
      <c r="D78" s="141"/>
      <c r="E78" s="141"/>
      <c r="F78" s="141"/>
      <c r="G78" s="141"/>
      <c r="H78" s="141"/>
      <c r="I78" s="141"/>
      <c r="J78" s="141"/>
      <c r="K78" s="140"/>
      <c r="L78" s="136">
        <v>251139440</v>
      </c>
      <c r="M78" s="137"/>
      <c r="N78" s="138"/>
      <c r="O78" s="136">
        <v>5679693415</v>
      </c>
      <c r="P78" s="137"/>
      <c r="Q78" s="138"/>
      <c r="R78" s="136">
        <v>7633192639</v>
      </c>
      <c r="S78" s="137"/>
      <c r="T78" s="138"/>
      <c r="U78" s="136">
        <v>8866294318</v>
      </c>
      <c r="V78" s="137"/>
      <c r="W78" s="138"/>
      <c r="X78" s="136">
        <v>9310000</v>
      </c>
      <c r="Y78" s="137"/>
      <c r="Z78" s="138"/>
      <c r="AA78" s="136">
        <v>6670965654</v>
      </c>
      <c r="AB78" s="137"/>
      <c r="AC78" s="138"/>
      <c r="AD78" s="1">
        <v>1</v>
      </c>
    </row>
    <row r="79" spans="1:30" ht="15" customHeight="1" x14ac:dyDescent="0.2">
      <c r="A79" s="139" t="s">
        <v>493</v>
      </c>
      <c r="B79" s="140"/>
      <c r="C79" s="139" t="s">
        <v>494</v>
      </c>
      <c r="D79" s="141"/>
      <c r="E79" s="141"/>
      <c r="F79" s="141"/>
      <c r="G79" s="141"/>
      <c r="H79" s="141"/>
      <c r="I79" s="141"/>
      <c r="J79" s="141"/>
      <c r="K79" s="140"/>
      <c r="L79" s="136">
        <v>251139440</v>
      </c>
      <c r="M79" s="137"/>
      <c r="N79" s="138"/>
      <c r="O79" s="136">
        <v>5679693415</v>
      </c>
      <c r="P79" s="137"/>
      <c r="Q79" s="138"/>
      <c r="R79" s="136">
        <v>7633192639</v>
      </c>
      <c r="S79" s="137"/>
      <c r="T79" s="138"/>
      <c r="U79" s="136">
        <v>8866294318</v>
      </c>
      <c r="V79" s="137"/>
      <c r="W79" s="138"/>
      <c r="X79" s="136">
        <v>9310000</v>
      </c>
      <c r="Y79" s="137"/>
      <c r="Z79" s="138"/>
      <c r="AA79" s="136">
        <v>6670965654</v>
      </c>
      <c r="AB79" s="137"/>
      <c r="AC79" s="138"/>
      <c r="AD79" s="1">
        <v>0</v>
      </c>
    </row>
    <row r="80" spans="1:30" ht="15" customHeight="1" x14ac:dyDescent="0.2">
      <c r="A80" s="139" t="s">
        <v>495</v>
      </c>
      <c r="B80" s="140"/>
      <c r="C80" s="139" t="s">
        <v>496</v>
      </c>
      <c r="D80" s="141"/>
      <c r="E80" s="141"/>
      <c r="F80" s="141"/>
      <c r="G80" s="141"/>
      <c r="H80" s="141"/>
      <c r="I80" s="141"/>
      <c r="J80" s="141"/>
      <c r="K80" s="140"/>
      <c r="L80" s="136">
        <v>251139440</v>
      </c>
      <c r="M80" s="137"/>
      <c r="N80" s="138"/>
      <c r="O80" s="136">
        <v>5679693415</v>
      </c>
      <c r="P80" s="137"/>
      <c r="Q80" s="138"/>
      <c r="R80" s="136">
        <v>7633192639</v>
      </c>
      <c r="S80" s="137"/>
      <c r="T80" s="138"/>
      <c r="U80" s="136">
        <v>8866294318</v>
      </c>
      <c r="V80" s="137"/>
      <c r="W80" s="138"/>
      <c r="X80" s="136">
        <v>9310000</v>
      </c>
      <c r="Y80" s="137"/>
      <c r="Z80" s="138"/>
      <c r="AA80" s="136">
        <v>6670965654</v>
      </c>
      <c r="AB80" s="137"/>
      <c r="AC80" s="138"/>
      <c r="AD80" s="1">
        <v>0</v>
      </c>
    </row>
    <row r="81" spans="1:30" ht="15" customHeight="1" x14ac:dyDescent="0.2">
      <c r="A81" s="139" t="s">
        <v>497</v>
      </c>
      <c r="B81" s="140"/>
      <c r="C81" s="139" t="s">
        <v>498</v>
      </c>
      <c r="D81" s="141"/>
      <c r="E81" s="141"/>
      <c r="F81" s="141"/>
      <c r="G81" s="141"/>
      <c r="H81" s="141"/>
      <c r="I81" s="141"/>
      <c r="J81" s="141"/>
      <c r="K81" s="140"/>
      <c r="L81" s="136">
        <v>251139440</v>
      </c>
      <c r="M81" s="137"/>
      <c r="N81" s="138"/>
      <c r="O81" s="136">
        <v>5679693415</v>
      </c>
      <c r="P81" s="137"/>
      <c r="Q81" s="138"/>
      <c r="R81" s="136">
        <v>7633192639</v>
      </c>
      <c r="S81" s="137"/>
      <c r="T81" s="138"/>
      <c r="U81" s="136">
        <v>8866294318</v>
      </c>
      <c r="V81" s="137"/>
      <c r="W81" s="138"/>
      <c r="X81" s="136">
        <v>9310000</v>
      </c>
      <c r="Y81" s="137"/>
      <c r="Z81" s="138"/>
      <c r="AA81" s="136">
        <v>6670965654</v>
      </c>
      <c r="AB81" s="137"/>
      <c r="AC81" s="138"/>
      <c r="AD81" s="1">
        <v>0</v>
      </c>
    </row>
    <row r="82" spans="1:30" ht="15" customHeight="1" x14ac:dyDescent="0.2">
      <c r="A82" s="139" t="s">
        <v>215</v>
      </c>
      <c r="B82" s="140"/>
      <c r="C82" s="139" t="s">
        <v>499</v>
      </c>
      <c r="D82" s="141"/>
      <c r="E82" s="141"/>
      <c r="F82" s="141"/>
      <c r="G82" s="141"/>
      <c r="H82" s="141"/>
      <c r="I82" s="141"/>
      <c r="J82" s="141"/>
      <c r="K82" s="140"/>
      <c r="L82" s="136">
        <v>0</v>
      </c>
      <c r="M82" s="137"/>
      <c r="N82" s="138"/>
      <c r="O82" s="136">
        <v>1477976523</v>
      </c>
      <c r="P82" s="137"/>
      <c r="Q82" s="138"/>
      <c r="R82" s="136">
        <v>3245385014</v>
      </c>
      <c r="S82" s="137"/>
      <c r="T82" s="138"/>
      <c r="U82" s="136">
        <v>2738533187</v>
      </c>
      <c r="V82" s="137"/>
      <c r="W82" s="138"/>
      <c r="X82" s="136">
        <v>0</v>
      </c>
      <c r="Y82" s="137"/>
      <c r="Z82" s="138"/>
      <c r="AA82" s="136">
        <v>971124696</v>
      </c>
      <c r="AB82" s="137"/>
      <c r="AC82" s="138"/>
      <c r="AD82" s="1">
        <v>1</v>
      </c>
    </row>
    <row r="83" spans="1:30" ht="15" customHeight="1" x14ac:dyDescent="0.2">
      <c r="A83" s="139" t="s">
        <v>500</v>
      </c>
      <c r="B83" s="140"/>
      <c r="C83" s="139" t="s">
        <v>501</v>
      </c>
      <c r="D83" s="141"/>
      <c r="E83" s="141"/>
      <c r="F83" s="141"/>
      <c r="G83" s="141"/>
      <c r="H83" s="141"/>
      <c r="I83" s="141"/>
      <c r="J83" s="141"/>
      <c r="K83" s="140"/>
      <c r="L83" s="136">
        <v>0</v>
      </c>
      <c r="M83" s="137"/>
      <c r="N83" s="138"/>
      <c r="O83" s="136">
        <v>307946</v>
      </c>
      <c r="P83" s="137"/>
      <c r="Q83" s="138"/>
      <c r="R83" s="136">
        <v>63475466</v>
      </c>
      <c r="S83" s="137"/>
      <c r="T83" s="138"/>
      <c r="U83" s="136">
        <v>72956592</v>
      </c>
      <c r="V83" s="137"/>
      <c r="W83" s="138"/>
      <c r="X83" s="136">
        <v>0</v>
      </c>
      <c r="Y83" s="137"/>
      <c r="Z83" s="138"/>
      <c r="AA83" s="136">
        <v>9789072</v>
      </c>
      <c r="AB83" s="137"/>
      <c r="AC83" s="138"/>
      <c r="AD83" s="1">
        <v>0</v>
      </c>
    </row>
    <row r="84" spans="1:30" ht="15" customHeight="1" x14ac:dyDescent="0.2">
      <c r="A84" s="139" t="s">
        <v>502</v>
      </c>
      <c r="B84" s="140"/>
      <c r="C84" s="139" t="s">
        <v>503</v>
      </c>
      <c r="D84" s="141"/>
      <c r="E84" s="141"/>
      <c r="F84" s="141"/>
      <c r="G84" s="141"/>
      <c r="H84" s="141"/>
      <c r="I84" s="141"/>
      <c r="J84" s="141"/>
      <c r="K84" s="140"/>
      <c r="L84" s="136">
        <v>0</v>
      </c>
      <c r="M84" s="137"/>
      <c r="N84" s="138"/>
      <c r="O84" s="136">
        <v>307946</v>
      </c>
      <c r="P84" s="137"/>
      <c r="Q84" s="138"/>
      <c r="R84" s="136">
        <v>63475466</v>
      </c>
      <c r="S84" s="137"/>
      <c r="T84" s="138"/>
      <c r="U84" s="136">
        <v>72956592</v>
      </c>
      <c r="V84" s="137"/>
      <c r="W84" s="138"/>
      <c r="X84" s="136">
        <v>0</v>
      </c>
      <c r="Y84" s="137"/>
      <c r="Z84" s="138"/>
      <c r="AA84" s="136">
        <v>9789072</v>
      </c>
      <c r="AB84" s="137"/>
      <c r="AC84" s="138"/>
      <c r="AD84" s="1">
        <v>0</v>
      </c>
    </row>
    <row r="85" spans="1:30" ht="15" customHeight="1" x14ac:dyDescent="0.2">
      <c r="A85" s="139" t="s">
        <v>504</v>
      </c>
      <c r="B85" s="140"/>
      <c r="C85" s="139" t="s">
        <v>505</v>
      </c>
      <c r="D85" s="141"/>
      <c r="E85" s="141"/>
      <c r="F85" s="141"/>
      <c r="G85" s="141"/>
      <c r="H85" s="141"/>
      <c r="I85" s="141"/>
      <c r="J85" s="141"/>
      <c r="K85" s="140"/>
      <c r="L85" s="136">
        <v>0</v>
      </c>
      <c r="M85" s="137"/>
      <c r="N85" s="138"/>
      <c r="O85" s="136">
        <v>1471515762</v>
      </c>
      <c r="P85" s="137"/>
      <c r="Q85" s="138"/>
      <c r="R85" s="136">
        <v>1471515764</v>
      </c>
      <c r="S85" s="137"/>
      <c r="T85" s="138"/>
      <c r="U85" s="136">
        <v>942330922</v>
      </c>
      <c r="V85" s="137"/>
      <c r="W85" s="138"/>
      <c r="X85" s="136">
        <v>0</v>
      </c>
      <c r="Y85" s="137"/>
      <c r="Z85" s="138"/>
      <c r="AA85" s="136">
        <v>942330920</v>
      </c>
      <c r="AB85" s="137"/>
      <c r="AC85" s="138"/>
      <c r="AD85" s="1">
        <v>0</v>
      </c>
    </row>
    <row r="86" spans="1:30" ht="15" customHeight="1" x14ac:dyDescent="0.2">
      <c r="A86" s="139" t="s">
        <v>506</v>
      </c>
      <c r="B86" s="140"/>
      <c r="C86" s="139" t="s">
        <v>507</v>
      </c>
      <c r="D86" s="141"/>
      <c r="E86" s="141"/>
      <c r="F86" s="141"/>
      <c r="G86" s="141"/>
      <c r="H86" s="141"/>
      <c r="I86" s="141"/>
      <c r="J86" s="141"/>
      <c r="K86" s="140"/>
      <c r="L86" s="136">
        <v>0</v>
      </c>
      <c r="M86" s="137"/>
      <c r="N86" s="138"/>
      <c r="O86" s="136">
        <v>6152815</v>
      </c>
      <c r="P86" s="137"/>
      <c r="Q86" s="138"/>
      <c r="R86" s="136">
        <v>1710393784</v>
      </c>
      <c r="S86" s="137"/>
      <c r="T86" s="138"/>
      <c r="U86" s="136">
        <v>1723245673</v>
      </c>
      <c r="V86" s="137"/>
      <c r="W86" s="138"/>
      <c r="X86" s="136">
        <v>0</v>
      </c>
      <c r="Y86" s="137"/>
      <c r="Z86" s="138"/>
      <c r="AA86" s="136">
        <v>19004704</v>
      </c>
      <c r="AB86" s="137"/>
      <c r="AC86" s="138"/>
      <c r="AD86" s="1">
        <v>0</v>
      </c>
    </row>
    <row r="87" spans="1:30" ht="15" customHeight="1" x14ac:dyDescent="0.2">
      <c r="A87" s="139" t="s">
        <v>217</v>
      </c>
      <c r="B87" s="140"/>
      <c r="C87" s="139" t="s">
        <v>508</v>
      </c>
      <c r="D87" s="141"/>
      <c r="E87" s="141"/>
      <c r="F87" s="141"/>
      <c r="G87" s="141"/>
      <c r="H87" s="141"/>
      <c r="I87" s="141"/>
      <c r="J87" s="141"/>
      <c r="K87" s="140"/>
      <c r="L87" s="136">
        <v>0</v>
      </c>
      <c r="M87" s="137"/>
      <c r="N87" s="138"/>
      <c r="O87" s="136">
        <v>1163110489</v>
      </c>
      <c r="P87" s="137"/>
      <c r="Q87" s="138"/>
      <c r="R87" s="136">
        <v>9575515228</v>
      </c>
      <c r="S87" s="137"/>
      <c r="T87" s="138"/>
      <c r="U87" s="136">
        <v>10153134287</v>
      </c>
      <c r="V87" s="137"/>
      <c r="W87" s="138"/>
      <c r="X87" s="136">
        <v>0</v>
      </c>
      <c r="Y87" s="137"/>
      <c r="Z87" s="138"/>
      <c r="AA87" s="136">
        <v>1740729548</v>
      </c>
      <c r="AB87" s="137"/>
      <c r="AC87" s="138"/>
      <c r="AD87" s="1">
        <v>1</v>
      </c>
    </row>
    <row r="88" spans="1:30" ht="15" customHeight="1" x14ac:dyDescent="0.2">
      <c r="A88" s="139" t="s">
        <v>509</v>
      </c>
      <c r="B88" s="140"/>
      <c r="C88" s="139" t="s">
        <v>510</v>
      </c>
      <c r="D88" s="141"/>
      <c r="E88" s="141"/>
      <c r="F88" s="141"/>
      <c r="G88" s="141"/>
      <c r="H88" s="141"/>
      <c r="I88" s="141"/>
      <c r="J88" s="141"/>
      <c r="K88" s="140"/>
      <c r="L88" s="136">
        <v>0</v>
      </c>
      <c r="M88" s="137"/>
      <c r="N88" s="138"/>
      <c r="O88" s="136">
        <v>871818359</v>
      </c>
      <c r="P88" s="137"/>
      <c r="Q88" s="138"/>
      <c r="R88" s="136">
        <v>7234810905</v>
      </c>
      <c r="S88" s="137"/>
      <c r="T88" s="138"/>
      <c r="U88" s="136">
        <v>7744320121</v>
      </c>
      <c r="V88" s="137"/>
      <c r="W88" s="138"/>
      <c r="X88" s="136">
        <v>0</v>
      </c>
      <c r="Y88" s="137"/>
      <c r="Z88" s="138"/>
      <c r="AA88" s="136">
        <v>1381327575</v>
      </c>
      <c r="AB88" s="137"/>
      <c r="AC88" s="138"/>
      <c r="AD88" s="1">
        <v>0</v>
      </c>
    </row>
    <row r="89" spans="1:30" ht="15" customHeight="1" x14ac:dyDescent="0.2">
      <c r="A89" s="139" t="s">
        <v>511</v>
      </c>
      <c r="B89" s="140"/>
      <c r="C89" s="139" t="s">
        <v>512</v>
      </c>
      <c r="D89" s="141"/>
      <c r="E89" s="141"/>
      <c r="F89" s="141"/>
      <c r="G89" s="141"/>
      <c r="H89" s="141"/>
      <c r="I89" s="141"/>
      <c r="J89" s="141"/>
      <c r="K89" s="140"/>
      <c r="L89" s="136">
        <v>0</v>
      </c>
      <c r="M89" s="137"/>
      <c r="N89" s="138"/>
      <c r="O89" s="136">
        <v>282292130</v>
      </c>
      <c r="P89" s="137"/>
      <c r="Q89" s="138"/>
      <c r="R89" s="136">
        <v>2083244323</v>
      </c>
      <c r="S89" s="137"/>
      <c r="T89" s="138"/>
      <c r="U89" s="136">
        <v>2155834166</v>
      </c>
      <c r="V89" s="137"/>
      <c r="W89" s="138"/>
      <c r="X89" s="136">
        <v>0</v>
      </c>
      <c r="Y89" s="137"/>
      <c r="Z89" s="138"/>
      <c r="AA89" s="136">
        <v>354881973</v>
      </c>
      <c r="AB89" s="137"/>
      <c r="AC89" s="138"/>
      <c r="AD89" s="1">
        <v>0</v>
      </c>
    </row>
    <row r="90" spans="1:30" ht="15" customHeight="1" x14ac:dyDescent="0.2">
      <c r="A90" s="139" t="s">
        <v>513</v>
      </c>
      <c r="B90" s="140"/>
      <c r="C90" s="139" t="s">
        <v>514</v>
      </c>
      <c r="D90" s="141"/>
      <c r="E90" s="141"/>
      <c r="F90" s="141"/>
      <c r="G90" s="141"/>
      <c r="H90" s="141"/>
      <c r="I90" s="141"/>
      <c r="J90" s="141"/>
      <c r="K90" s="140"/>
      <c r="L90" s="136">
        <v>0</v>
      </c>
      <c r="M90" s="137"/>
      <c r="N90" s="138"/>
      <c r="O90" s="136">
        <v>9000000</v>
      </c>
      <c r="P90" s="137"/>
      <c r="Q90" s="138"/>
      <c r="R90" s="136">
        <v>257460000</v>
      </c>
      <c r="S90" s="137"/>
      <c r="T90" s="138"/>
      <c r="U90" s="136">
        <v>252980000</v>
      </c>
      <c r="V90" s="137"/>
      <c r="W90" s="138"/>
      <c r="X90" s="136">
        <v>0</v>
      </c>
      <c r="Y90" s="137"/>
      <c r="Z90" s="138"/>
      <c r="AA90" s="136">
        <v>4520000</v>
      </c>
      <c r="AB90" s="137"/>
      <c r="AC90" s="138"/>
      <c r="AD90" s="1">
        <v>0</v>
      </c>
    </row>
    <row r="91" spans="1:30" ht="15" customHeight="1" x14ac:dyDescent="0.2">
      <c r="A91" s="139" t="s">
        <v>225</v>
      </c>
      <c r="B91" s="140"/>
      <c r="C91" s="139" t="s">
        <v>515</v>
      </c>
      <c r="D91" s="141"/>
      <c r="E91" s="141"/>
      <c r="F91" s="141"/>
      <c r="G91" s="141"/>
      <c r="H91" s="141"/>
      <c r="I91" s="141"/>
      <c r="J91" s="141"/>
      <c r="K91" s="140"/>
      <c r="L91" s="136">
        <v>0</v>
      </c>
      <c r="M91" s="137"/>
      <c r="N91" s="138"/>
      <c r="O91" s="136">
        <v>142994295</v>
      </c>
      <c r="P91" s="137"/>
      <c r="Q91" s="138"/>
      <c r="R91" s="136">
        <v>32229316545</v>
      </c>
      <c r="S91" s="137"/>
      <c r="T91" s="138"/>
      <c r="U91" s="136">
        <v>32244173770</v>
      </c>
      <c r="V91" s="137"/>
      <c r="W91" s="138"/>
      <c r="X91" s="136">
        <v>0</v>
      </c>
      <c r="Y91" s="137"/>
      <c r="Z91" s="138"/>
      <c r="AA91" s="136">
        <v>157851520</v>
      </c>
      <c r="AB91" s="137"/>
      <c r="AC91" s="138"/>
      <c r="AD91" s="1">
        <v>1</v>
      </c>
    </row>
    <row r="92" spans="1:30" ht="15" customHeight="1" x14ac:dyDescent="0.2">
      <c r="A92" s="139" t="s">
        <v>516</v>
      </c>
      <c r="B92" s="140"/>
      <c r="C92" s="139" t="s">
        <v>517</v>
      </c>
      <c r="D92" s="141"/>
      <c r="E92" s="141"/>
      <c r="F92" s="141"/>
      <c r="G92" s="141"/>
      <c r="H92" s="141"/>
      <c r="I92" s="141"/>
      <c r="J92" s="141"/>
      <c r="K92" s="140"/>
      <c r="L92" s="136">
        <v>0</v>
      </c>
      <c r="M92" s="137"/>
      <c r="N92" s="138"/>
      <c r="O92" s="136">
        <v>142994295</v>
      </c>
      <c r="P92" s="137"/>
      <c r="Q92" s="138"/>
      <c r="R92" s="136">
        <v>879316545</v>
      </c>
      <c r="S92" s="137"/>
      <c r="T92" s="138"/>
      <c r="U92" s="136">
        <v>894173770</v>
      </c>
      <c r="V92" s="137"/>
      <c r="W92" s="138"/>
      <c r="X92" s="136">
        <v>0</v>
      </c>
      <c r="Y92" s="137"/>
      <c r="Z92" s="138"/>
      <c r="AA92" s="136">
        <v>157851520</v>
      </c>
      <c r="AB92" s="137"/>
      <c r="AC92" s="138"/>
      <c r="AD92" s="1">
        <v>0</v>
      </c>
    </row>
    <row r="93" spans="1:30" ht="15" customHeight="1" x14ac:dyDescent="0.2">
      <c r="A93" s="139" t="s">
        <v>518</v>
      </c>
      <c r="B93" s="140"/>
      <c r="C93" s="139" t="s">
        <v>515</v>
      </c>
      <c r="D93" s="141"/>
      <c r="E93" s="141"/>
      <c r="F93" s="141"/>
      <c r="G93" s="141"/>
      <c r="H93" s="141"/>
      <c r="I93" s="141"/>
      <c r="J93" s="141"/>
      <c r="K93" s="140"/>
      <c r="L93" s="136">
        <v>0</v>
      </c>
      <c r="M93" s="137"/>
      <c r="N93" s="138"/>
      <c r="O93" s="136">
        <v>0</v>
      </c>
      <c r="P93" s="137"/>
      <c r="Q93" s="138"/>
      <c r="R93" s="136">
        <v>31350000000</v>
      </c>
      <c r="S93" s="137"/>
      <c r="T93" s="138"/>
      <c r="U93" s="136">
        <v>31350000000</v>
      </c>
      <c r="V93" s="137"/>
      <c r="W93" s="138"/>
      <c r="X93" s="136">
        <v>0</v>
      </c>
      <c r="Y93" s="137"/>
      <c r="Z93" s="138"/>
      <c r="AA93" s="136">
        <v>0</v>
      </c>
      <c r="AB93" s="137"/>
      <c r="AC93" s="138"/>
      <c r="AD93" s="1">
        <v>0</v>
      </c>
    </row>
    <row r="94" spans="1:30" ht="15" customHeight="1" x14ac:dyDescent="0.2">
      <c r="A94" s="139" t="s">
        <v>519</v>
      </c>
      <c r="B94" s="140"/>
      <c r="C94" s="139" t="s">
        <v>520</v>
      </c>
      <c r="D94" s="141"/>
      <c r="E94" s="141"/>
      <c r="F94" s="141"/>
      <c r="G94" s="141"/>
      <c r="H94" s="141"/>
      <c r="I94" s="141"/>
      <c r="J94" s="141"/>
      <c r="K94" s="140"/>
      <c r="L94" s="136">
        <v>0</v>
      </c>
      <c r="M94" s="137"/>
      <c r="N94" s="138"/>
      <c r="O94" s="136">
        <v>0</v>
      </c>
      <c r="P94" s="137"/>
      <c r="Q94" s="138"/>
      <c r="R94" s="136">
        <v>31350000000</v>
      </c>
      <c r="S94" s="137"/>
      <c r="T94" s="138"/>
      <c r="U94" s="136">
        <v>31350000000</v>
      </c>
      <c r="V94" s="137"/>
      <c r="W94" s="138"/>
      <c r="X94" s="136">
        <v>0</v>
      </c>
      <c r="Y94" s="137"/>
      <c r="Z94" s="138"/>
      <c r="AA94" s="136">
        <v>0</v>
      </c>
      <c r="AB94" s="137"/>
      <c r="AC94" s="138"/>
      <c r="AD94" s="1">
        <v>0</v>
      </c>
    </row>
    <row r="95" spans="1:30" ht="15" customHeight="1" x14ac:dyDescent="0.2">
      <c r="A95" s="139" t="s">
        <v>521</v>
      </c>
      <c r="B95" s="140"/>
      <c r="C95" s="139" t="s">
        <v>522</v>
      </c>
      <c r="D95" s="141"/>
      <c r="E95" s="141"/>
      <c r="F95" s="141"/>
      <c r="G95" s="141"/>
      <c r="H95" s="141"/>
      <c r="I95" s="141"/>
      <c r="J95" s="141"/>
      <c r="K95" s="140"/>
      <c r="L95" s="136">
        <v>0</v>
      </c>
      <c r="M95" s="137"/>
      <c r="N95" s="138"/>
      <c r="O95" s="136">
        <v>0</v>
      </c>
      <c r="P95" s="137"/>
      <c r="Q95" s="138"/>
      <c r="R95" s="136">
        <v>31350000000</v>
      </c>
      <c r="S95" s="137"/>
      <c r="T95" s="138"/>
      <c r="U95" s="136">
        <v>31350000000</v>
      </c>
      <c r="V95" s="137"/>
      <c r="W95" s="138"/>
      <c r="X95" s="136">
        <v>0</v>
      </c>
      <c r="Y95" s="137"/>
      <c r="Z95" s="138"/>
      <c r="AA95" s="136">
        <v>0</v>
      </c>
      <c r="AB95" s="137"/>
      <c r="AC95" s="138"/>
      <c r="AD95" s="1">
        <v>0</v>
      </c>
    </row>
    <row r="96" spans="1:30" ht="15" customHeight="1" x14ac:dyDescent="0.2">
      <c r="A96" s="139" t="s">
        <v>523</v>
      </c>
      <c r="B96" s="140"/>
      <c r="C96" s="139" t="s">
        <v>524</v>
      </c>
      <c r="D96" s="141"/>
      <c r="E96" s="141"/>
      <c r="F96" s="141"/>
      <c r="G96" s="141"/>
      <c r="H96" s="141"/>
      <c r="I96" s="141"/>
      <c r="J96" s="141"/>
      <c r="K96" s="140"/>
      <c r="L96" s="136">
        <v>0</v>
      </c>
      <c r="M96" s="137"/>
      <c r="N96" s="138"/>
      <c r="O96" s="136">
        <v>2000000000</v>
      </c>
      <c r="P96" s="137"/>
      <c r="Q96" s="138"/>
      <c r="R96" s="136">
        <v>0</v>
      </c>
      <c r="S96" s="137"/>
      <c r="T96" s="138"/>
      <c r="U96" s="136">
        <v>0</v>
      </c>
      <c r="V96" s="137"/>
      <c r="W96" s="138"/>
      <c r="X96" s="136">
        <v>0</v>
      </c>
      <c r="Y96" s="137"/>
      <c r="Z96" s="138"/>
      <c r="AA96" s="136">
        <v>2000000000</v>
      </c>
      <c r="AB96" s="137"/>
      <c r="AC96" s="138"/>
      <c r="AD96" s="1">
        <v>1</v>
      </c>
    </row>
    <row r="97" spans="1:30" ht="15" customHeight="1" x14ac:dyDescent="0.2">
      <c r="A97" s="139" t="s">
        <v>525</v>
      </c>
      <c r="B97" s="140"/>
      <c r="C97" s="139" t="s">
        <v>526</v>
      </c>
      <c r="D97" s="141"/>
      <c r="E97" s="141"/>
      <c r="F97" s="141"/>
      <c r="G97" s="141"/>
      <c r="H97" s="141"/>
      <c r="I97" s="141"/>
      <c r="J97" s="141"/>
      <c r="K97" s="140"/>
      <c r="L97" s="136">
        <v>0</v>
      </c>
      <c r="M97" s="137"/>
      <c r="N97" s="138"/>
      <c r="O97" s="136">
        <v>2000000000</v>
      </c>
      <c r="P97" s="137"/>
      <c r="Q97" s="138"/>
      <c r="R97" s="136">
        <v>0</v>
      </c>
      <c r="S97" s="137"/>
      <c r="T97" s="138"/>
      <c r="U97" s="136">
        <v>0</v>
      </c>
      <c r="V97" s="137"/>
      <c r="W97" s="138"/>
      <c r="X97" s="136">
        <v>0</v>
      </c>
      <c r="Y97" s="137"/>
      <c r="Z97" s="138"/>
      <c r="AA97" s="136">
        <v>2000000000</v>
      </c>
      <c r="AB97" s="137"/>
      <c r="AC97" s="138"/>
      <c r="AD97" s="1">
        <v>0</v>
      </c>
    </row>
    <row r="98" spans="1:30" ht="15" customHeight="1" x14ac:dyDescent="0.2">
      <c r="A98" s="139" t="s">
        <v>527</v>
      </c>
      <c r="B98" s="140"/>
      <c r="C98" s="139" t="s">
        <v>526</v>
      </c>
      <c r="D98" s="141"/>
      <c r="E98" s="141"/>
      <c r="F98" s="141"/>
      <c r="G98" s="141"/>
      <c r="H98" s="141"/>
      <c r="I98" s="141"/>
      <c r="J98" s="141"/>
      <c r="K98" s="140"/>
      <c r="L98" s="136">
        <v>0</v>
      </c>
      <c r="M98" s="137"/>
      <c r="N98" s="138"/>
      <c r="O98" s="136">
        <v>2000000000</v>
      </c>
      <c r="P98" s="137"/>
      <c r="Q98" s="138"/>
      <c r="R98" s="136">
        <v>0</v>
      </c>
      <c r="S98" s="137"/>
      <c r="T98" s="138"/>
      <c r="U98" s="136">
        <v>0</v>
      </c>
      <c r="V98" s="137"/>
      <c r="W98" s="138"/>
      <c r="X98" s="136">
        <v>0</v>
      </c>
      <c r="Y98" s="137"/>
      <c r="Z98" s="138"/>
      <c r="AA98" s="136">
        <v>2000000000</v>
      </c>
      <c r="AB98" s="137"/>
      <c r="AC98" s="138"/>
      <c r="AD98" s="1">
        <v>0</v>
      </c>
    </row>
    <row r="99" spans="1:30" ht="15" customHeight="1" x14ac:dyDescent="0.2">
      <c r="A99" s="139" t="s">
        <v>528</v>
      </c>
      <c r="B99" s="140"/>
      <c r="C99" s="139" t="s">
        <v>529</v>
      </c>
      <c r="D99" s="141"/>
      <c r="E99" s="141"/>
      <c r="F99" s="141"/>
      <c r="G99" s="141"/>
      <c r="H99" s="141"/>
      <c r="I99" s="141"/>
      <c r="J99" s="141"/>
      <c r="K99" s="140"/>
      <c r="L99" s="136">
        <v>0</v>
      </c>
      <c r="M99" s="137"/>
      <c r="N99" s="138"/>
      <c r="O99" s="136">
        <v>0</v>
      </c>
      <c r="P99" s="137"/>
      <c r="Q99" s="138"/>
      <c r="R99" s="136">
        <v>0</v>
      </c>
      <c r="S99" s="137"/>
      <c r="T99" s="138"/>
      <c r="U99" s="136">
        <v>7020000</v>
      </c>
      <c r="V99" s="137"/>
      <c r="W99" s="138"/>
      <c r="X99" s="136">
        <v>0</v>
      </c>
      <c r="Y99" s="137"/>
      <c r="Z99" s="138"/>
      <c r="AA99" s="136">
        <v>7020000</v>
      </c>
      <c r="AB99" s="137"/>
      <c r="AC99" s="138"/>
      <c r="AD99" s="1">
        <v>1</v>
      </c>
    </row>
    <row r="100" spans="1:30" ht="15" customHeight="1" x14ac:dyDescent="0.2">
      <c r="A100" s="139" t="s">
        <v>530</v>
      </c>
      <c r="B100" s="140"/>
      <c r="C100" s="139" t="s">
        <v>531</v>
      </c>
      <c r="D100" s="141"/>
      <c r="E100" s="141"/>
      <c r="F100" s="141"/>
      <c r="G100" s="141"/>
      <c r="H100" s="141"/>
      <c r="I100" s="141"/>
      <c r="J100" s="141"/>
      <c r="K100" s="140"/>
      <c r="L100" s="136">
        <v>0</v>
      </c>
      <c r="M100" s="137"/>
      <c r="N100" s="138"/>
      <c r="O100" s="136">
        <v>0</v>
      </c>
      <c r="P100" s="137"/>
      <c r="Q100" s="138"/>
      <c r="R100" s="136">
        <v>0</v>
      </c>
      <c r="S100" s="137"/>
      <c r="T100" s="138"/>
      <c r="U100" s="136">
        <v>7020000</v>
      </c>
      <c r="V100" s="137"/>
      <c r="W100" s="138"/>
      <c r="X100" s="136">
        <v>0</v>
      </c>
      <c r="Y100" s="137"/>
      <c r="Z100" s="138"/>
      <c r="AA100" s="136">
        <v>7020000</v>
      </c>
      <c r="AB100" s="137"/>
      <c r="AC100" s="138"/>
      <c r="AD100" s="1">
        <v>0</v>
      </c>
    </row>
    <row r="101" spans="1:30" ht="15" customHeight="1" x14ac:dyDescent="0.2">
      <c r="A101" s="139" t="s">
        <v>241</v>
      </c>
      <c r="B101" s="140"/>
      <c r="C101" s="139" t="s">
        <v>532</v>
      </c>
      <c r="D101" s="141"/>
      <c r="E101" s="141"/>
      <c r="F101" s="141"/>
      <c r="G101" s="141"/>
      <c r="H101" s="141"/>
      <c r="I101" s="141"/>
      <c r="J101" s="141"/>
      <c r="K101" s="140"/>
      <c r="L101" s="136">
        <v>0</v>
      </c>
      <c r="M101" s="137"/>
      <c r="N101" s="138"/>
      <c r="O101" s="136">
        <v>60000000000</v>
      </c>
      <c r="P101" s="137"/>
      <c r="Q101" s="138"/>
      <c r="R101" s="136">
        <v>0</v>
      </c>
      <c r="S101" s="137"/>
      <c r="T101" s="138"/>
      <c r="U101" s="136">
        <v>0</v>
      </c>
      <c r="V101" s="137"/>
      <c r="W101" s="138"/>
      <c r="X101" s="136">
        <v>0</v>
      </c>
      <c r="Y101" s="137"/>
      <c r="Z101" s="138"/>
      <c r="AA101" s="136">
        <v>60000000000</v>
      </c>
      <c r="AB101" s="137"/>
      <c r="AC101" s="138"/>
      <c r="AD101" s="1">
        <v>1</v>
      </c>
    </row>
    <row r="102" spans="1:30" ht="15" customHeight="1" x14ac:dyDescent="0.2">
      <c r="A102" s="139" t="s">
        <v>533</v>
      </c>
      <c r="B102" s="140"/>
      <c r="C102" s="139" t="s">
        <v>534</v>
      </c>
      <c r="D102" s="141"/>
      <c r="E102" s="141"/>
      <c r="F102" s="141"/>
      <c r="G102" s="141"/>
      <c r="H102" s="141"/>
      <c r="I102" s="141"/>
      <c r="J102" s="141"/>
      <c r="K102" s="140"/>
      <c r="L102" s="136">
        <v>0</v>
      </c>
      <c r="M102" s="137"/>
      <c r="N102" s="138"/>
      <c r="O102" s="136">
        <v>60000000000</v>
      </c>
      <c r="P102" s="137"/>
      <c r="Q102" s="138"/>
      <c r="R102" s="136">
        <v>0</v>
      </c>
      <c r="S102" s="137"/>
      <c r="T102" s="138"/>
      <c r="U102" s="136">
        <v>0</v>
      </c>
      <c r="V102" s="137"/>
      <c r="W102" s="138"/>
      <c r="X102" s="136">
        <v>0</v>
      </c>
      <c r="Y102" s="137"/>
      <c r="Z102" s="138"/>
      <c r="AA102" s="136">
        <v>60000000000</v>
      </c>
      <c r="AB102" s="137"/>
      <c r="AC102" s="138"/>
      <c r="AD102" s="1">
        <v>0</v>
      </c>
    </row>
    <row r="103" spans="1:30" ht="15" customHeight="1" x14ac:dyDescent="0.2">
      <c r="A103" s="139" t="s">
        <v>535</v>
      </c>
      <c r="B103" s="140"/>
      <c r="C103" s="139" t="s">
        <v>536</v>
      </c>
      <c r="D103" s="141"/>
      <c r="E103" s="141"/>
      <c r="F103" s="141"/>
      <c r="G103" s="141"/>
      <c r="H103" s="141"/>
      <c r="I103" s="141"/>
      <c r="J103" s="141"/>
      <c r="K103" s="140"/>
      <c r="L103" s="136">
        <v>0</v>
      </c>
      <c r="M103" s="137"/>
      <c r="N103" s="138"/>
      <c r="O103" s="136">
        <v>60000000000</v>
      </c>
      <c r="P103" s="137"/>
      <c r="Q103" s="138"/>
      <c r="R103" s="136">
        <v>0</v>
      </c>
      <c r="S103" s="137"/>
      <c r="T103" s="138"/>
      <c r="U103" s="136">
        <v>0</v>
      </c>
      <c r="V103" s="137"/>
      <c r="W103" s="138"/>
      <c r="X103" s="136">
        <v>0</v>
      </c>
      <c r="Y103" s="137"/>
      <c r="Z103" s="138"/>
      <c r="AA103" s="136">
        <v>60000000000</v>
      </c>
      <c r="AB103" s="137"/>
      <c r="AC103" s="138"/>
      <c r="AD103" s="1">
        <v>0</v>
      </c>
    </row>
    <row r="104" spans="1:30" ht="15" customHeight="1" x14ac:dyDescent="0.2">
      <c r="A104" s="139" t="s">
        <v>537</v>
      </c>
      <c r="B104" s="140"/>
      <c r="C104" s="139" t="s">
        <v>538</v>
      </c>
      <c r="D104" s="141"/>
      <c r="E104" s="141"/>
      <c r="F104" s="141"/>
      <c r="G104" s="141"/>
      <c r="H104" s="141"/>
      <c r="I104" s="141"/>
      <c r="J104" s="141"/>
      <c r="K104" s="140"/>
      <c r="L104" s="136">
        <v>0</v>
      </c>
      <c r="M104" s="137"/>
      <c r="N104" s="138"/>
      <c r="O104" s="136">
        <v>40912075769</v>
      </c>
      <c r="P104" s="137"/>
      <c r="Q104" s="138"/>
      <c r="R104" s="136">
        <v>62504084605</v>
      </c>
      <c r="S104" s="137"/>
      <c r="T104" s="138"/>
      <c r="U104" s="136">
        <v>45606993925</v>
      </c>
      <c r="V104" s="137"/>
      <c r="W104" s="138"/>
      <c r="X104" s="136">
        <v>0</v>
      </c>
      <c r="Y104" s="137"/>
      <c r="Z104" s="138"/>
      <c r="AA104" s="136">
        <v>24014985089</v>
      </c>
      <c r="AB104" s="137"/>
      <c r="AC104" s="138"/>
      <c r="AD104" s="1">
        <v>1</v>
      </c>
    </row>
    <row r="105" spans="1:30" ht="15" customHeight="1" x14ac:dyDescent="0.2">
      <c r="A105" s="139" t="s">
        <v>539</v>
      </c>
      <c r="B105" s="140"/>
      <c r="C105" s="139" t="s">
        <v>540</v>
      </c>
      <c r="D105" s="141"/>
      <c r="E105" s="141"/>
      <c r="F105" s="141"/>
      <c r="G105" s="141"/>
      <c r="H105" s="141"/>
      <c r="I105" s="141"/>
      <c r="J105" s="141"/>
      <c r="K105" s="140"/>
      <c r="L105" s="136">
        <v>0</v>
      </c>
      <c r="M105" s="137"/>
      <c r="N105" s="138"/>
      <c r="O105" s="136">
        <v>11407991164</v>
      </c>
      <c r="P105" s="137"/>
      <c r="Q105" s="138"/>
      <c r="R105" s="136">
        <v>33000000000</v>
      </c>
      <c r="S105" s="137"/>
      <c r="T105" s="138"/>
      <c r="U105" s="136">
        <v>29504084605</v>
      </c>
      <c r="V105" s="137"/>
      <c r="W105" s="138"/>
      <c r="X105" s="136">
        <v>0</v>
      </c>
      <c r="Y105" s="137"/>
      <c r="Z105" s="138"/>
      <c r="AA105" s="136">
        <v>7912075769</v>
      </c>
      <c r="AB105" s="137"/>
      <c r="AC105" s="138"/>
      <c r="AD105" s="1">
        <v>0</v>
      </c>
    </row>
    <row r="106" spans="1:30" ht="15" customHeight="1" x14ac:dyDescent="0.2">
      <c r="A106" s="139" t="s">
        <v>541</v>
      </c>
      <c r="B106" s="140"/>
      <c r="C106" s="139" t="s">
        <v>542</v>
      </c>
      <c r="D106" s="141"/>
      <c r="E106" s="141"/>
      <c r="F106" s="141"/>
      <c r="G106" s="141"/>
      <c r="H106" s="141"/>
      <c r="I106" s="141"/>
      <c r="J106" s="141"/>
      <c r="K106" s="140"/>
      <c r="L106" s="136">
        <v>0</v>
      </c>
      <c r="M106" s="137"/>
      <c r="N106" s="138"/>
      <c r="O106" s="136">
        <v>29504084605</v>
      </c>
      <c r="P106" s="137"/>
      <c r="Q106" s="138"/>
      <c r="R106" s="136">
        <v>29504084605</v>
      </c>
      <c r="S106" s="137"/>
      <c r="T106" s="138"/>
      <c r="U106" s="136">
        <v>16102909320</v>
      </c>
      <c r="V106" s="137"/>
      <c r="W106" s="138"/>
      <c r="X106" s="136">
        <v>0</v>
      </c>
      <c r="Y106" s="137"/>
      <c r="Z106" s="138"/>
      <c r="AA106" s="136">
        <v>16102909320</v>
      </c>
      <c r="AB106" s="137"/>
      <c r="AC106" s="138"/>
      <c r="AD106" s="1">
        <v>0</v>
      </c>
    </row>
    <row r="107" spans="1:30" ht="15" customHeight="1" x14ac:dyDescent="0.2">
      <c r="A107" s="139" t="s">
        <v>543</v>
      </c>
      <c r="B107" s="140"/>
      <c r="C107" s="139" t="s">
        <v>544</v>
      </c>
      <c r="D107" s="141"/>
      <c r="E107" s="141"/>
      <c r="F107" s="141"/>
      <c r="G107" s="141"/>
      <c r="H107" s="141"/>
      <c r="I107" s="141"/>
      <c r="J107" s="141"/>
      <c r="K107" s="140"/>
      <c r="L107" s="136">
        <v>0</v>
      </c>
      <c r="M107" s="137"/>
      <c r="N107" s="138"/>
      <c r="O107" s="136">
        <v>0</v>
      </c>
      <c r="P107" s="137"/>
      <c r="Q107" s="138"/>
      <c r="R107" s="136">
        <v>39665068548</v>
      </c>
      <c r="S107" s="137"/>
      <c r="T107" s="138"/>
      <c r="U107" s="136">
        <v>39665068548</v>
      </c>
      <c r="V107" s="137"/>
      <c r="W107" s="138"/>
      <c r="X107" s="136">
        <v>0</v>
      </c>
      <c r="Y107" s="137"/>
      <c r="Z107" s="138"/>
      <c r="AA107" s="136">
        <v>0</v>
      </c>
      <c r="AB107" s="137"/>
      <c r="AC107" s="138"/>
      <c r="AD107" s="1">
        <v>1</v>
      </c>
    </row>
    <row r="108" spans="1:30" ht="15" customHeight="1" x14ac:dyDescent="0.2">
      <c r="A108" s="139" t="s">
        <v>545</v>
      </c>
      <c r="B108" s="140"/>
      <c r="C108" s="139" t="s">
        <v>546</v>
      </c>
      <c r="D108" s="141"/>
      <c r="E108" s="141"/>
      <c r="F108" s="141"/>
      <c r="G108" s="141"/>
      <c r="H108" s="141"/>
      <c r="I108" s="141"/>
      <c r="J108" s="141"/>
      <c r="K108" s="140"/>
      <c r="L108" s="136">
        <v>0</v>
      </c>
      <c r="M108" s="137"/>
      <c r="N108" s="138"/>
      <c r="O108" s="136">
        <v>0</v>
      </c>
      <c r="P108" s="137"/>
      <c r="Q108" s="138"/>
      <c r="R108" s="136">
        <v>677344063</v>
      </c>
      <c r="S108" s="137"/>
      <c r="T108" s="138"/>
      <c r="U108" s="136">
        <v>677344063</v>
      </c>
      <c r="V108" s="137"/>
      <c r="W108" s="138"/>
      <c r="X108" s="136">
        <v>0</v>
      </c>
      <c r="Y108" s="137"/>
      <c r="Z108" s="138"/>
      <c r="AA108" s="136">
        <v>0</v>
      </c>
      <c r="AB108" s="137"/>
      <c r="AC108" s="138"/>
      <c r="AD108" s="1">
        <v>0</v>
      </c>
    </row>
    <row r="109" spans="1:30" ht="15" customHeight="1" x14ac:dyDescent="0.2">
      <c r="A109" s="139" t="s">
        <v>547</v>
      </c>
      <c r="B109" s="140"/>
      <c r="C109" s="139" t="s">
        <v>548</v>
      </c>
      <c r="D109" s="141"/>
      <c r="E109" s="141"/>
      <c r="F109" s="141"/>
      <c r="G109" s="141"/>
      <c r="H109" s="141"/>
      <c r="I109" s="141"/>
      <c r="J109" s="141"/>
      <c r="K109" s="140"/>
      <c r="L109" s="136">
        <v>0</v>
      </c>
      <c r="M109" s="137"/>
      <c r="N109" s="138"/>
      <c r="O109" s="136">
        <v>0</v>
      </c>
      <c r="P109" s="137"/>
      <c r="Q109" s="138"/>
      <c r="R109" s="136">
        <v>37890981465</v>
      </c>
      <c r="S109" s="137"/>
      <c r="T109" s="138"/>
      <c r="U109" s="136">
        <v>37890981465</v>
      </c>
      <c r="V109" s="137"/>
      <c r="W109" s="138"/>
      <c r="X109" s="136">
        <v>0</v>
      </c>
      <c r="Y109" s="137"/>
      <c r="Z109" s="138"/>
      <c r="AA109" s="136">
        <v>0</v>
      </c>
      <c r="AB109" s="137"/>
      <c r="AC109" s="138"/>
      <c r="AD109" s="1">
        <v>0</v>
      </c>
    </row>
    <row r="110" spans="1:30" ht="15" customHeight="1" x14ac:dyDescent="0.2">
      <c r="A110" s="139" t="s">
        <v>549</v>
      </c>
      <c r="B110" s="140"/>
      <c r="C110" s="139" t="s">
        <v>550</v>
      </c>
      <c r="D110" s="141"/>
      <c r="E110" s="141"/>
      <c r="F110" s="141"/>
      <c r="G110" s="141"/>
      <c r="H110" s="141"/>
      <c r="I110" s="141"/>
      <c r="J110" s="141"/>
      <c r="K110" s="140"/>
      <c r="L110" s="136">
        <v>0</v>
      </c>
      <c r="M110" s="137"/>
      <c r="N110" s="138"/>
      <c r="O110" s="136">
        <v>0</v>
      </c>
      <c r="P110" s="137"/>
      <c r="Q110" s="138"/>
      <c r="R110" s="136">
        <v>17849098219</v>
      </c>
      <c r="S110" s="137"/>
      <c r="T110" s="138"/>
      <c r="U110" s="136">
        <v>17849098219</v>
      </c>
      <c r="V110" s="137"/>
      <c r="W110" s="138"/>
      <c r="X110" s="136">
        <v>0</v>
      </c>
      <c r="Y110" s="137"/>
      <c r="Z110" s="138"/>
      <c r="AA110" s="136">
        <v>0</v>
      </c>
      <c r="AB110" s="137"/>
      <c r="AC110" s="138"/>
      <c r="AD110" s="1">
        <v>0</v>
      </c>
    </row>
    <row r="111" spans="1:30" ht="15" customHeight="1" x14ac:dyDescent="0.2">
      <c r="A111" s="139" t="s">
        <v>551</v>
      </c>
      <c r="B111" s="140"/>
      <c r="C111" s="139" t="s">
        <v>552</v>
      </c>
      <c r="D111" s="141"/>
      <c r="E111" s="141"/>
      <c r="F111" s="141"/>
      <c r="G111" s="141"/>
      <c r="H111" s="141"/>
      <c r="I111" s="141"/>
      <c r="J111" s="141"/>
      <c r="K111" s="140"/>
      <c r="L111" s="136">
        <v>0</v>
      </c>
      <c r="M111" s="137"/>
      <c r="N111" s="138"/>
      <c r="O111" s="136">
        <v>0</v>
      </c>
      <c r="P111" s="137"/>
      <c r="Q111" s="138"/>
      <c r="R111" s="136">
        <v>20041883246</v>
      </c>
      <c r="S111" s="137"/>
      <c r="T111" s="138"/>
      <c r="U111" s="136">
        <v>20041883246</v>
      </c>
      <c r="V111" s="137"/>
      <c r="W111" s="138"/>
      <c r="X111" s="136">
        <v>0</v>
      </c>
      <c r="Y111" s="137"/>
      <c r="Z111" s="138"/>
      <c r="AA111" s="136">
        <v>0</v>
      </c>
      <c r="AB111" s="137"/>
      <c r="AC111" s="138"/>
      <c r="AD111" s="1">
        <v>0</v>
      </c>
    </row>
    <row r="112" spans="1:30" ht="15" customHeight="1" x14ac:dyDescent="0.2">
      <c r="A112" s="139" t="s">
        <v>553</v>
      </c>
      <c r="B112" s="140"/>
      <c r="C112" s="139" t="s">
        <v>554</v>
      </c>
      <c r="D112" s="141"/>
      <c r="E112" s="141"/>
      <c r="F112" s="141"/>
      <c r="G112" s="141"/>
      <c r="H112" s="141"/>
      <c r="I112" s="141"/>
      <c r="J112" s="141"/>
      <c r="K112" s="140"/>
      <c r="L112" s="136">
        <v>0</v>
      </c>
      <c r="M112" s="137"/>
      <c r="N112" s="138"/>
      <c r="O112" s="136">
        <v>0</v>
      </c>
      <c r="P112" s="137"/>
      <c r="Q112" s="138"/>
      <c r="R112" s="136">
        <v>1096743020</v>
      </c>
      <c r="S112" s="137"/>
      <c r="T112" s="138"/>
      <c r="U112" s="136">
        <v>1096743020</v>
      </c>
      <c r="V112" s="137"/>
      <c r="W112" s="138"/>
      <c r="X112" s="136">
        <v>0</v>
      </c>
      <c r="Y112" s="137"/>
      <c r="Z112" s="138"/>
      <c r="AA112" s="136">
        <v>0</v>
      </c>
      <c r="AB112" s="137"/>
      <c r="AC112" s="138"/>
      <c r="AD112" s="1">
        <v>0</v>
      </c>
    </row>
    <row r="113" spans="1:30" ht="15" customHeight="1" x14ac:dyDescent="0.2">
      <c r="A113" s="139" t="s">
        <v>555</v>
      </c>
      <c r="B113" s="140"/>
      <c r="C113" s="139" t="s">
        <v>556</v>
      </c>
      <c r="D113" s="141"/>
      <c r="E113" s="141"/>
      <c r="F113" s="141"/>
      <c r="G113" s="141"/>
      <c r="H113" s="141"/>
      <c r="I113" s="141"/>
      <c r="J113" s="141"/>
      <c r="K113" s="140"/>
      <c r="L113" s="136">
        <v>0</v>
      </c>
      <c r="M113" s="137"/>
      <c r="N113" s="138"/>
      <c r="O113" s="136">
        <v>0</v>
      </c>
      <c r="P113" s="137"/>
      <c r="Q113" s="138"/>
      <c r="R113" s="136">
        <v>419014172</v>
      </c>
      <c r="S113" s="137"/>
      <c r="T113" s="138"/>
      <c r="U113" s="136">
        <v>419014172</v>
      </c>
      <c r="V113" s="137"/>
      <c r="W113" s="138"/>
      <c r="X113" s="136">
        <v>0</v>
      </c>
      <c r="Y113" s="137"/>
      <c r="Z113" s="138"/>
      <c r="AA113" s="136">
        <v>0</v>
      </c>
      <c r="AB113" s="137"/>
      <c r="AC113" s="138"/>
      <c r="AD113" s="1">
        <v>0</v>
      </c>
    </row>
    <row r="114" spans="1:30" ht="15" customHeight="1" x14ac:dyDescent="0.2">
      <c r="A114" s="139" t="s">
        <v>557</v>
      </c>
      <c r="B114" s="140"/>
      <c r="C114" s="139" t="s">
        <v>558</v>
      </c>
      <c r="D114" s="141"/>
      <c r="E114" s="141"/>
      <c r="F114" s="141"/>
      <c r="G114" s="141"/>
      <c r="H114" s="141"/>
      <c r="I114" s="141"/>
      <c r="J114" s="141"/>
      <c r="K114" s="140"/>
      <c r="L114" s="136">
        <v>0</v>
      </c>
      <c r="M114" s="137"/>
      <c r="N114" s="138"/>
      <c r="O114" s="136">
        <v>0</v>
      </c>
      <c r="P114" s="137"/>
      <c r="Q114" s="138"/>
      <c r="R114" s="136">
        <v>54983384</v>
      </c>
      <c r="S114" s="137"/>
      <c r="T114" s="138"/>
      <c r="U114" s="136">
        <v>54983384</v>
      </c>
      <c r="V114" s="137"/>
      <c r="W114" s="138"/>
      <c r="X114" s="136">
        <v>0</v>
      </c>
      <c r="Y114" s="137"/>
      <c r="Z114" s="138"/>
      <c r="AA114" s="136">
        <v>0</v>
      </c>
      <c r="AB114" s="137"/>
      <c r="AC114" s="138"/>
      <c r="AD114" s="1">
        <v>0</v>
      </c>
    </row>
    <row r="115" spans="1:30" ht="15" customHeight="1" x14ac:dyDescent="0.2">
      <c r="A115" s="139" t="s">
        <v>559</v>
      </c>
      <c r="B115" s="140"/>
      <c r="C115" s="139" t="s">
        <v>560</v>
      </c>
      <c r="D115" s="141"/>
      <c r="E115" s="141"/>
      <c r="F115" s="141"/>
      <c r="G115" s="141"/>
      <c r="H115" s="141"/>
      <c r="I115" s="141"/>
      <c r="J115" s="141"/>
      <c r="K115" s="140"/>
      <c r="L115" s="136">
        <v>0</v>
      </c>
      <c r="M115" s="137"/>
      <c r="N115" s="138"/>
      <c r="O115" s="136">
        <v>0</v>
      </c>
      <c r="P115" s="137"/>
      <c r="Q115" s="138"/>
      <c r="R115" s="136">
        <v>622745464</v>
      </c>
      <c r="S115" s="137"/>
      <c r="T115" s="138"/>
      <c r="U115" s="136">
        <v>622745464</v>
      </c>
      <c r="V115" s="137"/>
      <c r="W115" s="138"/>
      <c r="X115" s="136">
        <v>0</v>
      </c>
      <c r="Y115" s="137"/>
      <c r="Z115" s="138"/>
      <c r="AA115" s="136">
        <v>0</v>
      </c>
      <c r="AB115" s="137"/>
      <c r="AC115" s="138"/>
      <c r="AD115" s="1">
        <v>0</v>
      </c>
    </row>
    <row r="116" spans="1:30" ht="15" customHeight="1" x14ac:dyDescent="0.2">
      <c r="A116" s="139" t="s">
        <v>561</v>
      </c>
      <c r="B116" s="140"/>
      <c r="C116" s="139" t="s">
        <v>562</v>
      </c>
      <c r="D116" s="141"/>
      <c r="E116" s="141"/>
      <c r="F116" s="141"/>
      <c r="G116" s="141"/>
      <c r="H116" s="141"/>
      <c r="I116" s="141"/>
      <c r="J116" s="141"/>
      <c r="K116" s="140"/>
      <c r="L116" s="136">
        <v>0</v>
      </c>
      <c r="M116" s="137"/>
      <c r="N116" s="138"/>
      <c r="O116" s="136">
        <v>0</v>
      </c>
      <c r="P116" s="137"/>
      <c r="Q116" s="138"/>
      <c r="R116" s="136">
        <v>663014682</v>
      </c>
      <c r="S116" s="137"/>
      <c r="T116" s="138"/>
      <c r="U116" s="136">
        <v>663014682</v>
      </c>
      <c r="V116" s="137"/>
      <c r="W116" s="138"/>
      <c r="X116" s="136">
        <v>0</v>
      </c>
      <c r="Y116" s="137"/>
      <c r="Z116" s="138"/>
      <c r="AA116" s="136">
        <v>0</v>
      </c>
      <c r="AB116" s="137"/>
      <c r="AC116" s="138"/>
      <c r="AD116" s="1">
        <v>1</v>
      </c>
    </row>
    <row r="117" spans="1:30" ht="15" customHeight="1" x14ac:dyDescent="0.2">
      <c r="A117" s="139" t="s">
        <v>563</v>
      </c>
      <c r="B117" s="140"/>
      <c r="C117" s="139" t="s">
        <v>564</v>
      </c>
      <c r="D117" s="141"/>
      <c r="E117" s="141"/>
      <c r="F117" s="141"/>
      <c r="G117" s="141"/>
      <c r="H117" s="141"/>
      <c r="I117" s="141"/>
      <c r="J117" s="141"/>
      <c r="K117" s="140"/>
      <c r="L117" s="136">
        <v>0</v>
      </c>
      <c r="M117" s="137"/>
      <c r="N117" s="138"/>
      <c r="O117" s="136">
        <v>0</v>
      </c>
      <c r="P117" s="137"/>
      <c r="Q117" s="138"/>
      <c r="R117" s="136">
        <v>651078798</v>
      </c>
      <c r="S117" s="137"/>
      <c r="T117" s="138"/>
      <c r="U117" s="136">
        <v>651078798</v>
      </c>
      <c r="V117" s="137"/>
      <c r="W117" s="138"/>
      <c r="X117" s="136">
        <v>0</v>
      </c>
      <c r="Y117" s="137"/>
      <c r="Z117" s="138"/>
      <c r="AA117" s="136">
        <v>0</v>
      </c>
      <c r="AB117" s="137"/>
      <c r="AC117" s="138"/>
      <c r="AD117" s="1">
        <v>0</v>
      </c>
    </row>
    <row r="118" spans="1:30" ht="15" customHeight="1" x14ac:dyDescent="0.2">
      <c r="A118" s="139" t="s">
        <v>565</v>
      </c>
      <c r="B118" s="140"/>
      <c r="C118" s="139" t="s">
        <v>566</v>
      </c>
      <c r="D118" s="141"/>
      <c r="E118" s="141"/>
      <c r="F118" s="141"/>
      <c r="G118" s="141"/>
      <c r="H118" s="141"/>
      <c r="I118" s="141"/>
      <c r="J118" s="141"/>
      <c r="K118" s="140"/>
      <c r="L118" s="136">
        <v>0</v>
      </c>
      <c r="M118" s="137"/>
      <c r="N118" s="138"/>
      <c r="O118" s="136">
        <v>0</v>
      </c>
      <c r="P118" s="137"/>
      <c r="Q118" s="138"/>
      <c r="R118" s="136">
        <v>11935884</v>
      </c>
      <c r="S118" s="137"/>
      <c r="T118" s="138"/>
      <c r="U118" s="136">
        <v>11935884</v>
      </c>
      <c r="V118" s="137"/>
      <c r="W118" s="138"/>
      <c r="X118" s="136">
        <v>0</v>
      </c>
      <c r="Y118" s="137"/>
      <c r="Z118" s="138"/>
      <c r="AA118" s="136">
        <v>0</v>
      </c>
      <c r="AB118" s="137"/>
      <c r="AC118" s="138"/>
      <c r="AD118" s="1">
        <v>0</v>
      </c>
    </row>
    <row r="119" spans="1:30" ht="15" customHeight="1" x14ac:dyDescent="0.2">
      <c r="A119" s="139" t="s">
        <v>567</v>
      </c>
      <c r="B119" s="140"/>
      <c r="C119" s="139" t="s">
        <v>568</v>
      </c>
      <c r="D119" s="141"/>
      <c r="E119" s="141"/>
      <c r="F119" s="141"/>
      <c r="G119" s="141"/>
      <c r="H119" s="141"/>
      <c r="I119" s="141"/>
      <c r="J119" s="141"/>
      <c r="K119" s="140"/>
      <c r="L119" s="136">
        <v>0</v>
      </c>
      <c r="M119" s="137"/>
      <c r="N119" s="138"/>
      <c r="O119" s="136">
        <v>0</v>
      </c>
      <c r="P119" s="137"/>
      <c r="Q119" s="138"/>
      <c r="R119" s="136">
        <v>7891681639</v>
      </c>
      <c r="S119" s="137"/>
      <c r="T119" s="138"/>
      <c r="U119" s="136">
        <v>7891681639</v>
      </c>
      <c r="V119" s="137"/>
      <c r="W119" s="138"/>
      <c r="X119" s="136">
        <v>0</v>
      </c>
      <c r="Y119" s="137"/>
      <c r="Z119" s="138"/>
      <c r="AA119" s="136">
        <v>0</v>
      </c>
      <c r="AB119" s="137"/>
      <c r="AC119" s="138"/>
      <c r="AD119" s="1">
        <v>1</v>
      </c>
    </row>
    <row r="120" spans="1:30" ht="15" customHeight="1" x14ac:dyDescent="0.2">
      <c r="A120" s="139" t="s">
        <v>569</v>
      </c>
      <c r="B120" s="140"/>
      <c r="C120" s="139" t="s">
        <v>570</v>
      </c>
      <c r="D120" s="141"/>
      <c r="E120" s="141"/>
      <c r="F120" s="141"/>
      <c r="G120" s="141"/>
      <c r="H120" s="141"/>
      <c r="I120" s="141"/>
      <c r="J120" s="141"/>
      <c r="K120" s="140"/>
      <c r="L120" s="136">
        <v>0</v>
      </c>
      <c r="M120" s="137"/>
      <c r="N120" s="138"/>
      <c r="O120" s="136">
        <v>0</v>
      </c>
      <c r="P120" s="137"/>
      <c r="Q120" s="138"/>
      <c r="R120" s="136">
        <v>8522815496</v>
      </c>
      <c r="S120" s="137"/>
      <c r="T120" s="138"/>
      <c r="U120" s="136">
        <v>8522815496</v>
      </c>
      <c r="V120" s="137"/>
      <c r="W120" s="138"/>
      <c r="X120" s="136">
        <v>0</v>
      </c>
      <c r="Y120" s="137"/>
      <c r="Z120" s="138"/>
      <c r="AA120" s="136">
        <v>0</v>
      </c>
      <c r="AB120" s="137"/>
      <c r="AC120" s="138"/>
      <c r="AD120" s="1">
        <v>1</v>
      </c>
    </row>
    <row r="121" spans="1:30" ht="15" customHeight="1" x14ac:dyDescent="0.2">
      <c r="A121" s="139" t="s">
        <v>571</v>
      </c>
      <c r="B121" s="140"/>
      <c r="C121" s="139" t="s">
        <v>572</v>
      </c>
      <c r="D121" s="141"/>
      <c r="E121" s="141"/>
      <c r="F121" s="141"/>
      <c r="G121" s="141"/>
      <c r="H121" s="141"/>
      <c r="I121" s="141"/>
      <c r="J121" s="141"/>
      <c r="K121" s="140"/>
      <c r="L121" s="136">
        <v>0</v>
      </c>
      <c r="M121" s="137"/>
      <c r="N121" s="138"/>
      <c r="O121" s="136">
        <v>0</v>
      </c>
      <c r="P121" s="137"/>
      <c r="Q121" s="138"/>
      <c r="R121" s="136">
        <v>2057751154</v>
      </c>
      <c r="S121" s="137"/>
      <c r="T121" s="138"/>
      <c r="U121" s="136">
        <v>2057751154</v>
      </c>
      <c r="V121" s="137"/>
      <c r="W121" s="138"/>
      <c r="X121" s="136">
        <v>0</v>
      </c>
      <c r="Y121" s="137"/>
      <c r="Z121" s="138"/>
      <c r="AA121" s="136">
        <v>0</v>
      </c>
      <c r="AB121" s="137"/>
      <c r="AC121" s="138"/>
      <c r="AD121" s="1">
        <v>1</v>
      </c>
    </row>
    <row r="122" spans="1:30" ht="15" customHeight="1" x14ac:dyDescent="0.2">
      <c r="A122" s="139" t="s">
        <v>573</v>
      </c>
      <c r="B122" s="140"/>
      <c r="C122" s="139" t="s">
        <v>574</v>
      </c>
      <c r="D122" s="141"/>
      <c r="E122" s="141"/>
      <c r="F122" s="141"/>
      <c r="G122" s="141"/>
      <c r="H122" s="141"/>
      <c r="I122" s="141"/>
      <c r="J122" s="141"/>
      <c r="K122" s="140"/>
      <c r="L122" s="136">
        <v>0</v>
      </c>
      <c r="M122" s="137"/>
      <c r="N122" s="138"/>
      <c r="O122" s="136">
        <v>0</v>
      </c>
      <c r="P122" s="137"/>
      <c r="Q122" s="138"/>
      <c r="R122" s="136">
        <v>169345000</v>
      </c>
      <c r="S122" s="137"/>
      <c r="T122" s="138"/>
      <c r="U122" s="136">
        <v>169345000</v>
      </c>
      <c r="V122" s="137"/>
      <c r="W122" s="138"/>
      <c r="X122" s="136">
        <v>0</v>
      </c>
      <c r="Y122" s="137"/>
      <c r="Z122" s="138"/>
      <c r="AA122" s="136">
        <v>0</v>
      </c>
      <c r="AB122" s="137"/>
      <c r="AC122" s="138"/>
      <c r="AD122" s="1">
        <v>0</v>
      </c>
    </row>
    <row r="123" spans="1:30" ht="15" customHeight="1" x14ac:dyDescent="0.2">
      <c r="A123" s="139" t="s">
        <v>575</v>
      </c>
      <c r="B123" s="140"/>
      <c r="C123" s="139" t="s">
        <v>576</v>
      </c>
      <c r="D123" s="141"/>
      <c r="E123" s="141"/>
      <c r="F123" s="141"/>
      <c r="G123" s="141"/>
      <c r="H123" s="141"/>
      <c r="I123" s="141"/>
      <c r="J123" s="141"/>
      <c r="K123" s="140"/>
      <c r="L123" s="136">
        <v>0</v>
      </c>
      <c r="M123" s="137"/>
      <c r="N123" s="138"/>
      <c r="O123" s="136">
        <v>0</v>
      </c>
      <c r="P123" s="137"/>
      <c r="Q123" s="138"/>
      <c r="R123" s="136">
        <v>160237649</v>
      </c>
      <c r="S123" s="137"/>
      <c r="T123" s="138"/>
      <c r="U123" s="136">
        <v>160237649</v>
      </c>
      <c r="V123" s="137"/>
      <c r="W123" s="138"/>
      <c r="X123" s="136">
        <v>0</v>
      </c>
      <c r="Y123" s="137"/>
      <c r="Z123" s="138"/>
      <c r="AA123" s="136">
        <v>0</v>
      </c>
      <c r="AB123" s="137"/>
      <c r="AC123" s="138"/>
      <c r="AD123" s="1">
        <v>0</v>
      </c>
    </row>
    <row r="124" spans="1:30" ht="15" customHeight="1" x14ac:dyDescent="0.2">
      <c r="A124" s="139" t="s">
        <v>577</v>
      </c>
      <c r="B124" s="140"/>
      <c r="C124" s="139" t="s">
        <v>578</v>
      </c>
      <c r="D124" s="141"/>
      <c r="E124" s="141"/>
      <c r="F124" s="141"/>
      <c r="G124" s="141"/>
      <c r="H124" s="141"/>
      <c r="I124" s="141"/>
      <c r="J124" s="141"/>
      <c r="K124" s="140"/>
      <c r="L124" s="136">
        <v>0</v>
      </c>
      <c r="M124" s="137"/>
      <c r="N124" s="138"/>
      <c r="O124" s="136">
        <v>0</v>
      </c>
      <c r="P124" s="137"/>
      <c r="Q124" s="138"/>
      <c r="R124" s="136">
        <v>1523674688</v>
      </c>
      <c r="S124" s="137"/>
      <c r="T124" s="138"/>
      <c r="U124" s="136">
        <v>1523674688</v>
      </c>
      <c r="V124" s="137"/>
      <c r="W124" s="138"/>
      <c r="X124" s="136">
        <v>0</v>
      </c>
      <c r="Y124" s="137"/>
      <c r="Z124" s="138"/>
      <c r="AA124" s="136">
        <v>0</v>
      </c>
      <c r="AB124" s="137"/>
      <c r="AC124" s="138"/>
      <c r="AD124" s="1">
        <v>0</v>
      </c>
    </row>
    <row r="125" spans="1:30" ht="15" customHeight="1" x14ac:dyDescent="0.2">
      <c r="A125" s="139" t="s">
        <v>579</v>
      </c>
      <c r="B125" s="140"/>
      <c r="C125" s="139" t="s">
        <v>580</v>
      </c>
      <c r="D125" s="141"/>
      <c r="E125" s="141"/>
      <c r="F125" s="141"/>
      <c r="G125" s="141"/>
      <c r="H125" s="141"/>
      <c r="I125" s="141"/>
      <c r="J125" s="141"/>
      <c r="K125" s="140"/>
      <c r="L125" s="136">
        <v>0</v>
      </c>
      <c r="M125" s="137"/>
      <c r="N125" s="138"/>
      <c r="O125" s="136">
        <v>0</v>
      </c>
      <c r="P125" s="137"/>
      <c r="Q125" s="138"/>
      <c r="R125" s="136">
        <v>37378000</v>
      </c>
      <c r="S125" s="137"/>
      <c r="T125" s="138"/>
      <c r="U125" s="136">
        <v>37378000</v>
      </c>
      <c r="V125" s="137"/>
      <c r="W125" s="138"/>
      <c r="X125" s="136">
        <v>0</v>
      </c>
      <c r="Y125" s="137"/>
      <c r="Z125" s="138"/>
      <c r="AA125" s="136">
        <v>0</v>
      </c>
      <c r="AB125" s="137"/>
      <c r="AC125" s="138"/>
      <c r="AD125" s="1">
        <v>0</v>
      </c>
    </row>
    <row r="126" spans="1:30" ht="15" customHeight="1" x14ac:dyDescent="0.2">
      <c r="A126" s="139" t="s">
        <v>581</v>
      </c>
      <c r="B126" s="140"/>
      <c r="C126" s="139" t="s">
        <v>582</v>
      </c>
      <c r="D126" s="141"/>
      <c r="E126" s="141"/>
      <c r="F126" s="141"/>
      <c r="G126" s="141"/>
      <c r="H126" s="141"/>
      <c r="I126" s="141"/>
      <c r="J126" s="141"/>
      <c r="K126" s="140"/>
      <c r="L126" s="136">
        <v>0</v>
      </c>
      <c r="M126" s="137"/>
      <c r="N126" s="138"/>
      <c r="O126" s="136">
        <v>0</v>
      </c>
      <c r="P126" s="137"/>
      <c r="Q126" s="138"/>
      <c r="R126" s="136">
        <v>167115817</v>
      </c>
      <c r="S126" s="137"/>
      <c r="T126" s="138"/>
      <c r="U126" s="136">
        <v>167115817</v>
      </c>
      <c r="V126" s="137"/>
      <c r="W126" s="138"/>
      <c r="X126" s="136">
        <v>0</v>
      </c>
      <c r="Y126" s="137"/>
      <c r="Z126" s="138"/>
      <c r="AA126" s="136">
        <v>0</v>
      </c>
      <c r="AB126" s="137"/>
      <c r="AC126" s="138"/>
      <c r="AD126" s="1">
        <v>0</v>
      </c>
    </row>
    <row r="127" spans="1:30" ht="15" customHeight="1" x14ac:dyDescent="0.2">
      <c r="A127" s="139" t="s">
        <v>583</v>
      </c>
      <c r="B127" s="140"/>
      <c r="C127" s="139" t="s">
        <v>584</v>
      </c>
      <c r="D127" s="141"/>
      <c r="E127" s="141"/>
      <c r="F127" s="141"/>
      <c r="G127" s="141"/>
      <c r="H127" s="141"/>
      <c r="I127" s="141"/>
      <c r="J127" s="141"/>
      <c r="K127" s="140"/>
      <c r="L127" s="136">
        <v>0</v>
      </c>
      <c r="M127" s="137"/>
      <c r="N127" s="138"/>
      <c r="O127" s="136">
        <v>0</v>
      </c>
      <c r="P127" s="137"/>
      <c r="Q127" s="138"/>
      <c r="R127" s="136">
        <v>19515477254</v>
      </c>
      <c r="S127" s="137"/>
      <c r="T127" s="138"/>
      <c r="U127" s="136">
        <v>19515477254</v>
      </c>
      <c r="V127" s="137"/>
      <c r="W127" s="138"/>
      <c r="X127" s="136">
        <v>0</v>
      </c>
      <c r="Y127" s="137"/>
      <c r="Z127" s="138"/>
      <c r="AA127" s="136">
        <v>0</v>
      </c>
      <c r="AB127" s="137"/>
      <c r="AC127" s="138"/>
      <c r="AD127" s="1">
        <v>1</v>
      </c>
    </row>
    <row r="128" spans="1:30" ht="15" customHeight="1" x14ac:dyDescent="0.2">
      <c r="A128" s="139" t="s">
        <v>585</v>
      </c>
      <c r="B128" s="140"/>
      <c r="C128" s="139" t="s">
        <v>586</v>
      </c>
      <c r="D128" s="141"/>
      <c r="E128" s="141"/>
      <c r="F128" s="141"/>
      <c r="G128" s="141"/>
      <c r="H128" s="141"/>
      <c r="I128" s="141"/>
      <c r="J128" s="141"/>
      <c r="K128" s="140"/>
      <c r="L128" s="136">
        <v>0</v>
      </c>
      <c r="M128" s="137"/>
      <c r="N128" s="138"/>
      <c r="O128" s="136">
        <v>0</v>
      </c>
      <c r="P128" s="137"/>
      <c r="Q128" s="138"/>
      <c r="R128" s="136">
        <v>623711262</v>
      </c>
      <c r="S128" s="137"/>
      <c r="T128" s="138"/>
      <c r="U128" s="136">
        <v>623711262</v>
      </c>
      <c r="V128" s="137"/>
      <c r="W128" s="138"/>
      <c r="X128" s="136">
        <v>0</v>
      </c>
      <c r="Y128" s="137"/>
      <c r="Z128" s="138"/>
      <c r="AA128" s="136">
        <v>0</v>
      </c>
      <c r="AB128" s="137"/>
      <c r="AC128" s="138"/>
      <c r="AD128" s="1">
        <v>0</v>
      </c>
    </row>
    <row r="129" spans="1:30" ht="15" customHeight="1" x14ac:dyDescent="0.2">
      <c r="A129" s="139" t="s">
        <v>587</v>
      </c>
      <c r="B129" s="140"/>
      <c r="C129" s="139" t="s">
        <v>588</v>
      </c>
      <c r="D129" s="141"/>
      <c r="E129" s="141"/>
      <c r="F129" s="141"/>
      <c r="G129" s="141"/>
      <c r="H129" s="141"/>
      <c r="I129" s="141"/>
      <c r="J129" s="141"/>
      <c r="K129" s="140"/>
      <c r="L129" s="136">
        <v>0</v>
      </c>
      <c r="M129" s="137"/>
      <c r="N129" s="138"/>
      <c r="O129" s="136">
        <v>0</v>
      </c>
      <c r="P129" s="137"/>
      <c r="Q129" s="138"/>
      <c r="R129" s="136">
        <v>18471237439</v>
      </c>
      <c r="S129" s="137"/>
      <c r="T129" s="138"/>
      <c r="U129" s="136">
        <v>18471237439</v>
      </c>
      <c r="V129" s="137"/>
      <c r="W129" s="138"/>
      <c r="X129" s="136">
        <v>0</v>
      </c>
      <c r="Y129" s="137"/>
      <c r="Z129" s="138"/>
      <c r="AA129" s="136">
        <v>0</v>
      </c>
      <c r="AB129" s="137"/>
      <c r="AC129" s="138"/>
      <c r="AD129" s="1">
        <v>0</v>
      </c>
    </row>
    <row r="130" spans="1:30" ht="15" customHeight="1" x14ac:dyDescent="0.2">
      <c r="A130" s="139" t="s">
        <v>589</v>
      </c>
      <c r="B130" s="140"/>
      <c r="C130" s="139" t="s">
        <v>590</v>
      </c>
      <c r="D130" s="141"/>
      <c r="E130" s="141"/>
      <c r="F130" s="141"/>
      <c r="G130" s="141"/>
      <c r="H130" s="141"/>
      <c r="I130" s="141"/>
      <c r="J130" s="141"/>
      <c r="K130" s="140"/>
      <c r="L130" s="136">
        <v>0</v>
      </c>
      <c r="M130" s="137"/>
      <c r="N130" s="138"/>
      <c r="O130" s="136">
        <v>0</v>
      </c>
      <c r="P130" s="137"/>
      <c r="Q130" s="138"/>
      <c r="R130" s="136">
        <v>373789615</v>
      </c>
      <c r="S130" s="137"/>
      <c r="T130" s="138"/>
      <c r="U130" s="136">
        <v>373789615</v>
      </c>
      <c r="V130" s="137"/>
      <c r="W130" s="138"/>
      <c r="X130" s="136">
        <v>0</v>
      </c>
      <c r="Y130" s="137"/>
      <c r="Z130" s="138"/>
      <c r="AA130" s="136">
        <v>0</v>
      </c>
      <c r="AB130" s="137"/>
      <c r="AC130" s="138"/>
      <c r="AD130" s="1">
        <v>0</v>
      </c>
    </row>
    <row r="131" spans="1:30" ht="15" customHeight="1" x14ac:dyDescent="0.2">
      <c r="A131" s="139" t="s">
        <v>591</v>
      </c>
      <c r="B131" s="140"/>
      <c r="C131" s="139" t="s">
        <v>592</v>
      </c>
      <c r="D131" s="141"/>
      <c r="E131" s="141"/>
      <c r="F131" s="141"/>
      <c r="G131" s="141"/>
      <c r="H131" s="141"/>
      <c r="I131" s="141"/>
      <c r="J131" s="141"/>
      <c r="K131" s="140"/>
      <c r="L131" s="136">
        <v>0</v>
      </c>
      <c r="M131" s="137"/>
      <c r="N131" s="138"/>
      <c r="O131" s="136">
        <v>0</v>
      </c>
      <c r="P131" s="137"/>
      <c r="Q131" s="138"/>
      <c r="R131" s="136">
        <v>46738938</v>
      </c>
      <c r="S131" s="137"/>
      <c r="T131" s="138"/>
      <c r="U131" s="136">
        <v>46738938</v>
      </c>
      <c r="V131" s="137"/>
      <c r="W131" s="138"/>
      <c r="X131" s="136">
        <v>0</v>
      </c>
      <c r="Y131" s="137"/>
      <c r="Z131" s="138"/>
      <c r="AA131" s="136">
        <v>0</v>
      </c>
      <c r="AB131" s="137"/>
      <c r="AC131" s="138"/>
      <c r="AD131" s="1">
        <v>0</v>
      </c>
    </row>
    <row r="132" spans="1:30" ht="15" customHeight="1" x14ac:dyDescent="0.2">
      <c r="A132" s="139" t="s">
        <v>593</v>
      </c>
      <c r="B132" s="140"/>
      <c r="C132" s="139" t="s">
        <v>594</v>
      </c>
      <c r="D132" s="141"/>
      <c r="E132" s="141"/>
      <c r="F132" s="141"/>
      <c r="G132" s="141"/>
      <c r="H132" s="141"/>
      <c r="I132" s="141"/>
      <c r="J132" s="141"/>
      <c r="K132" s="140"/>
      <c r="L132" s="136">
        <v>0</v>
      </c>
      <c r="M132" s="137"/>
      <c r="N132" s="138"/>
      <c r="O132" s="136">
        <v>0</v>
      </c>
      <c r="P132" s="137"/>
      <c r="Q132" s="138"/>
      <c r="R132" s="136">
        <v>3773871690</v>
      </c>
      <c r="S132" s="137"/>
      <c r="T132" s="138"/>
      <c r="U132" s="136">
        <v>3773871690</v>
      </c>
      <c r="V132" s="137"/>
      <c r="W132" s="138"/>
      <c r="X132" s="136">
        <v>0</v>
      </c>
      <c r="Y132" s="137"/>
      <c r="Z132" s="138"/>
      <c r="AA132" s="136">
        <v>0</v>
      </c>
      <c r="AB132" s="137"/>
      <c r="AC132" s="138"/>
      <c r="AD132" s="1">
        <v>1</v>
      </c>
    </row>
    <row r="133" spans="1:30" ht="15" customHeight="1" x14ac:dyDescent="0.2">
      <c r="A133" s="139" t="s">
        <v>595</v>
      </c>
      <c r="B133" s="140"/>
      <c r="C133" s="139" t="s">
        <v>596</v>
      </c>
      <c r="D133" s="141"/>
      <c r="E133" s="141"/>
      <c r="F133" s="141"/>
      <c r="G133" s="141"/>
      <c r="H133" s="141"/>
      <c r="I133" s="141"/>
      <c r="J133" s="141"/>
      <c r="K133" s="140"/>
      <c r="L133" s="136">
        <v>0</v>
      </c>
      <c r="M133" s="137"/>
      <c r="N133" s="138"/>
      <c r="O133" s="136">
        <v>0</v>
      </c>
      <c r="P133" s="137"/>
      <c r="Q133" s="138"/>
      <c r="R133" s="136">
        <v>2308509871</v>
      </c>
      <c r="S133" s="137"/>
      <c r="T133" s="138"/>
      <c r="U133" s="136">
        <v>2308509871</v>
      </c>
      <c r="V133" s="137"/>
      <c r="W133" s="138"/>
      <c r="X133" s="136">
        <v>0</v>
      </c>
      <c r="Y133" s="137"/>
      <c r="Z133" s="138"/>
      <c r="AA133" s="136">
        <v>0</v>
      </c>
      <c r="AB133" s="137"/>
      <c r="AC133" s="138"/>
      <c r="AD133" s="1">
        <v>0</v>
      </c>
    </row>
    <row r="134" spans="1:30" ht="15" customHeight="1" x14ac:dyDescent="0.2">
      <c r="A134" s="139" t="s">
        <v>597</v>
      </c>
      <c r="B134" s="140"/>
      <c r="C134" s="139" t="s">
        <v>598</v>
      </c>
      <c r="D134" s="141"/>
      <c r="E134" s="141"/>
      <c r="F134" s="141"/>
      <c r="G134" s="141"/>
      <c r="H134" s="141"/>
      <c r="I134" s="141"/>
      <c r="J134" s="141"/>
      <c r="K134" s="140"/>
      <c r="L134" s="136">
        <v>0</v>
      </c>
      <c r="M134" s="137"/>
      <c r="N134" s="138"/>
      <c r="O134" s="136">
        <v>0</v>
      </c>
      <c r="P134" s="137"/>
      <c r="Q134" s="138"/>
      <c r="R134" s="136">
        <v>251023989</v>
      </c>
      <c r="S134" s="137"/>
      <c r="T134" s="138"/>
      <c r="U134" s="136">
        <v>251023989</v>
      </c>
      <c r="V134" s="137"/>
      <c r="W134" s="138"/>
      <c r="X134" s="136">
        <v>0</v>
      </c>
      <c r="Y134" s="137"/>
      <c r="Z134" s="138"/>
      <c r="AA134" s="136">
        <v>0</v>
      </c>
      <c r="AB134" s="137"/>
      <c r="AC134" s="138"/>
      <c r="AD134" s="1">
        <v>0</v>
      </c>
    </row>
    <row r="135" spans="1:30" ht="15" customHeight="1" x14ac:dyDescent="0.2">
      <c r="A135" s="139" t="s">
        <v>599</v>
      </c>
      <c r="B135" s="140"/>
      <c r="C135" s="139" t="s">
        <v>578</v>
      </c>
      <c r="D135" s="141"/>
      <c r="E135" s="141"/>
      <c r="F135" s="141"/>
      <c r="G135" s="141"/>
      <c r="H135" s="141"/>
      <c r="I135" s="141"/>
      <c r="J135" s="141"/>
      <c r="K135" s="140"/>
      <c r="L135" s="136">
        <v>0</v>
      </c>
      <c r="M135" s="137"/>
      <c r="N135" s="138"/>
      <c r="O135" s="136">
        <v>0</v>
      </c>
      <c r="P135" s="137"/>
      <c r="Q135" s="138"/>
      <c r="R135" s="136">
        <v>89709952</v>
      </c>
      <c r="S135" s="137"/>
      <c r="T135" s="138"/>
      <c r="U135" s="136">
        <v>89709952</v>
      </c>
      <c r="V135" s="137"/>
      <c r="W135" s="138"/>
      <c r="X135" s="136">
        <v>0</v>
      </c>
      <c r="Y135" s="137"/>
      <c r="Z135" s="138"/>
      <c r="AA135" s="136">
        <v>0</v>
      </c>
      <c r="AB135" s="137"/>
      <c r="AC135" s="138"/>
      <c r="AD135" s="1">
        <v>0</v>
      </c>
    </row>
    <row r="136" spans="1:30" ht="15" customHeight="1" x14ac:dyDescent="0.2">
      <c r="A136" s="139" t="s">
        <v>600</v>
      </c>
      <c r="B136" s="140"/>
      <c r="C136" s="139" t="s">
        <v>580</v>
      </c>
      <c r="D136" s="141"/>
      <c r="E136" s="141"/>
      <c r="F136" s="141"/>
      <c r="G136" s="141"/>
      <c r="H136" s="141"/>
      <c r="I136" s="141"/>
      <c r="J136" s="141"/>
      <c r="K136" s="140"/>
      <c r="L136" s="136">
        <v>0</v>
      </c>
      <c r="M136" s="137"/>
      <c r="N136" s="138"/>
      <c r="O136" s="136">
        <v>0</v>
      </c>
      <c r="P136" s="137"/>
      <c r="Q136" s="138"/>
      <c r="R136" s="136">
        <v>371442633</v>
      </c>
      <c r="S136" s="137"/>
      <c r="T136" s="138"/>
      <c r="U136" s="136">
        <v>371442633</v>
      </c>
      <c r="V136" s="137"/>
      <c r="W136" s="138"/>
      <c r="X136" s="136">
        <v>0</v>
      </c>
      <c r="Y136" s="137"/>
      <c r="Z136" s="138"/>
      <c r="AA136" s="136">
        <v>0</v>
      </c>
      <c r="AB136" s="137"/>
      <c r="AC136" s="138"/>
      <c r="AD136" s="1">
        <v>0</v>
      </c>
    </row>
    <row r="137" spans="1:30" ht="15" customHeight="1" x14ac:dyDescent="0.2">
      <c r="A137" s="139" t="s">
        <v>601</v>
      </c>
      <c r="B137" s="140"/>
      <c r="C137" s="139" t="s">
        <v>602</v>
      </c>
      <c r="D137" s="141"/>
      <c r="E137" s="141"/>
      <c r="F137" s="141"/>
      <c r="G137" s="141"/>
      <c r="H137" s="141"/>
      <c r="I137" s="141"/>
      <c r="J137" s="141"/>
      <c r="K137" s="140"/>
      <c r="L137" s="136">
        <v>0</v>
      </c>
      <c r="M137" s="137"/>
      <c r="N137" s="138"/>
      <c r="O137" s="136">
        <v>0</v>
      </c>
      <c r="P137" s="137"/>
      <c r="Q137" s="138"/>
      <c r="R137" s="136">
        <v>753185245</v>
      </c>
      <c r="S137" s="137"/>
      <c r="T137" s="138"/>
      <c r="U137" s="136">
        <v>753185245</v>
      </c>
      <c r="V137" s="137"/>
      <c r="W137" s="138"/>
      <c r="X137" s="136">
        <v>0</v>
      </c>
      <c r="Y137" s="137"/>
      <c r="Z137" s="138"/>
      <c r="AA137" s="136">
        <v>0</v>
      </c>
      <c r="AB137" s="137"/>
      <c r="AC137" s="138"/>
      <c r="AD137" s="1">
        <v>0</v>
      </c>
    </row>
    <row r="138" spans="1:30" ht="15" customHeight="1" x14ac:dyDescent="0.2">
      <c r="A138" s="139" t="s">
        <v>603</v>
      </c>
      <c r="B138" s="140"/>
      <c r="C138" s="139" t="s">
        <v>604</v>
      </c>
      <c r="D138" s="141"/>
      <c r="E138" s="141"/>
      <c r="F138" s="141"/>
      <c r="G138" s="141"/>
      <c r="H138" s="141"/>
      <c r="I138" s="141"/>
      <c r="J138" s="141"/>
      <c r="K138" s="140"/>
      <c r="L138" s="136">
        <v>0</v>
      </c>
      <c r="M138" s="137"/>
      <c r="N138" s="138"/>
      <c r="O138" s="136">
        <v>0</v>
      </c>
      <c r="P138" s="137"/>
      <c r="Q138" s="138"/>
      <c r="R138" s="136">
        <v>23087132</v>
      </c>
      <c r="S138" s="137"/>
      <c r="T138" s="138"/>
      <c r="U138" s="136">
        <v>23087132</v>
      </c>
      <c r="V138" s="137"/>
      <c r="W138" s="138"/>
      <c r="X138" s="136">
        <v>0</v>
      </c>
      <c r="Y138" s="137"/>
      <c r="Z138" s="138"/>
      <c r="AA138" s="136">
        <v>0</v>
      </c>
      <c r="AB138" s="137"/>
      <c r="AC138" s="138"/>
      <c r="AD138" s="1">
        <v>1</v>
      </c>
    </row>
    <row r="139" spans="1:30" ht="15" customHeight="1" x14ac:dyDescent="0.2">
      <c r="A139" s="139" t="s">
        <v>605</v>
      </c>
      <c r="B139" s="140"/>
      <c r="C139" s="139" t="s">
        <v>606</v>
      </c>
      <c r="D139" s="141"/>
      <c r="E139" s="141"/>
      <c r="F139" s="141"/>
      <c r="G139" s="141"/>
      <c r="H139" s="141"/>
      <c r="I139" s="141"/>
      <c r="J139" s="141"/>
      <c r="K139" s="140"/>
      <c r="L139" s="136">
        <v>0</v>
      </c>
      <c r="M139" s="137"/>
      <c r="N139" s="138"/>
      <c r="O139" s="136">
        <v>0</v>
      </c>
      <c r="P139" s="137"/>
      <c r="Q139" s="138"/>
      <c r="R139" s="136">
        <v>23087132</v>
      </c>
      <c r="S139" s="137"/>
      <c r="T139" s="138"/>
      <c r="U139" s="136">
        <v>23087132</v>
      </c>
      <c r="V139" s="137"/>
      <c r="W139" s="138"/>
      <c r="X139" s="136">
        <v>0</v>
      </c>
      <c r="Y139" s="137"/>
      <c r="Z139" s="138"/>
      <c r="AA139" s="136">
        <v>0</v>
      </c>
      <c r="AB139" s="137"/>
      <c r="AC139" s="138"/>
      <c r="AD139" s="1">
        <v>0</v>
      </c>
    </row>
    <row r="140" spans="1:30" ht="15" customHeight="1" x14ac:dyDescent="0.2">
      <c r="A140" s="139" t="s">
        <v>607</v>
      </c>
      <c r="B140" s="140"/>
      <c r="C140" s="139" t="s">
        <v>608</v>
      </c>
      <c r="D140" s="141"/>
      <c r="E140" s="141"/>
      <c r="F140" s="141"/>
      <c r="G140" s="141"/>
      <c r="H140" s="141"/>
      <c r="I140" s="141"/>
      <c r="J140" s="141"/>
      <c r="K140" s="140"/>
      <c r="L140" s="136">
        <v>0</v>
      </c>
      <c r="M140" s="137"/>
      <c r="N140" s="138"/>
      <c r="O140" s="136">
        <v>0</v>
      </c>
      <c r="P140" s="137"/>
      <c r="Q140" s="138"/>
      <c r="R140" s="136">
        <v>942330920</v>
      </c>
      <c r="S140" s="137"/>
      <c r="T140" s="138"/>
      <c r="U140" s="136">
        <v>942330920</v>
      </c>
      <c r="V140" s="137"/>
      <c r="W140" s="138"/>
      <c r="X140" s="136">
        <v>0</v>
      </c>
      <c r="Y140" s="137"/>
      <c r="Z140" s="138"/>
      <c r="AA140" s="136">
        <v>0</v>
      </c>
      <c r="AB140" s="137"/>
      <c r="AC140" s="138"/>
      <c r="AD140" s="1">
        <v>1</v>
      </c>
    </row>
    <row r="141" spans="1:30" ht="15" customHeight="1" x14ac:dyDescent="0.2">
      <c r="A141" s="139" t="s">
        <v>609</v>
      </c>
      <c r="B141" s="140"/>
      <c r="C141" s="139" t="s">
        <v>610</v>
      </c>
      <c r="D141" s="141"/>
      <c r="E141" s="141"/>
      <c r="F141" s="141"/>
      <c r="G141" s="141"/>
      <c r="H141" s="141"/>
      <c r="I141" s="141"/>
      <c r="J141" s="141"/>
      <c r="K141" s="140"/>
      <c r="L141" s="136">
        <v>0</v>
      </c>
      <c r="M141" s="137"/>
      <c r="N141" s="138"/>
      <c r="O141" s="136">
        <v>0</v>
      </c>
      <c r="P141" s="137"/>
      <c r="Q141" s="138"/>
      <c r="R141" s="136">
        <v>942330920</v>
      </c>
      <c r="S141" s="137"/>
      <c r="T141" s="138"/>
      <c r="U141" s="136">
        <v>942330920</v>
      </c>
      <c r="V141" s="137"/>
      <c r="W141" s="138"/>
      <c r="X141" s="136">
        <v>0</v>
      </c>
      <c r="Y141" s="137"/>
      <c r="Z141" s="138"/>
      <c r="AA141" s="136">
        <v>0</v>
      </c>
      <c r="AB141" s="137"/>
      <c r="AC141" s="138"/>
      <c r="AD141" s="1">
        <v>0</v>
      </c>
    </row>
    <row r="142" spans="1:30" ht="15" customHeight="1" x14ac:dyDescent="0.2">
      <c r="A142" s="139" t="s">
        <v>611</v>
      </c>
      <c r="B142" s="140"/>
      <c r="C142" s="139" t="s">
        <v>612</v>
      </c>
      <c r="D142" s="141"/>
      <c r="E142" s="141"/>
      <c r="F142" s="141"/>
      <c r="G142" s="141"/>
      <c r="H142" s="141"/>
      <c r="I142" s="141"/>
      <c r="J142" s="141"/>
      <c r="K142" s="140"/>
      <c r="L142" s="136">
        <v>0</v>
      </c>
      <c r="M142" s="137"/>
      <c r="N142" s="138"/>
      <c r="O142" s="136">
        <v>0</v>
      </c>
      <c r="P142" s="137"/>
      <c r="Q142" s="138"/>
      <c r="R142" s="136">
        <v>942330920</v>
      </c>
      <c r="S142" s="137"/>
      <c r="T142" s="138"/>
      <c r="U142" s="136">
        <v>942330920</v>
      </c>
      <c r="V142" s="137"/>
      <c r="W142" s="138"/>
      <c r="X142" s="136">
        <v>0</v>
      </c>
      <c r="Y142" s="137"/>
      <c r="Z142" s="138"/>
      <c r="AA142" s="136">
        <v>0</v>
      </c>
      <c r="AB142" s="137"/>
      <c r="AC142" s="138"/>
      <c r="AD142" s="1">
        <v>0</v>
      </c>
    </row>
    <row r="143" spans="1:30" ht="15" customHeight="1" x14ac:dyDescent="0.2">
      <c r="A143" s="139" t="s">
        <v>613</v>
      </c>
      <c r="B143" s="140"/>
      <c r="C143" s="139" t="s">
        <v>614</v>
      </c>
      <c r="D143" s="141"/>
      <c r="E143" s="141"/>
      <c r="F143" s="141"/>
      <c r="G143" s="141"/>
      <c r="H143" s="141"/>
      <c r="I143" s="141"/>
      <c r="J143" s="141"/>
      <c r="K143" s="140"/>
      <c r="L143" s="136">
        <v>0</v>
      </c>
      <c r="M143" s="137"/>
      <c r="N143" s="138"/>
      <c r="O143" s="136">
        <v>0</v>
      </c>
      <c r="P143" s="137"/>
      <c r="Q143" s="138"/>
      <c r="R143" s="136">
        <v>40334589184</v>
      </c>
      <c r="S143" s="137"/>
      <c r="T143" s="138"/>
      <c r="U143" s="136">
        <v>40334589184</v>
      </c>
      <c r="V143" s="137"/>
      <c r="W143" s="138"/>
      <c r="X143" s="136">
        <v>0</v>
      </c>
      <c r="Y143" s="137"/>
      <c r="Z143" s="138"/>
      <c r="AA143" s="136">
        <v>0</v>
      </c>
      <c r="AB143" s="137"/>
      <c r="AC143" s="138"/>
      <c r="AD143" s="1">
        <v>1</v>
      </c>
    </row>
    <row r="144" spans="1:30" ht="22.5" hidden="1" customHeight="1" x14ac:dyDescent="0.2">
      <c r="A144" s="55"/>
      <c r="B144" s="55"/>
      <c r="C144" s="55"/>
      <c r="D144" s="55"/>
      <c r="E144" s="55"/>
      <c r="F144" s="55"/>
      <c r="G144" s="55"/>
      <c r="H144" s="55"/>
      <c r="I144" s="55"/>
      <c r="J144" s="56"/>
      <c r="K144" s="56"/>
      <c r="L144" s="58"/>
      <c r="M144" s="58"/>
      <c r="N144" s="58"/>
      <c r="O144" s="59"/>
      <c r="P144" s="59"/>
      <c r="Q144" s="59"/>
      <c r="R144" s="59"/>
      <c r="S144" s="59"/>
      <c r="T144" s="59"/>
      <c r="U144" s="60"/>
      <c r="V144" s="60"/>
      <c r="W144" s="60"/>
      <c r="X144" s="60"/>
      <c r="Y144" s="60"/>
      <c r="Z144" s="60"/>
      <c r="AA144" s="60"/>
      <c r="AB144" s="60"/>
      <c r="AC144" s="60"/>
    </row>
    <row r="145" spans="1:29" ht="15" customHeight="1" x14ac:dyDescent="0.2">
      <c r="A145" s="132" t="s">
        <v>615</v>
      </c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3">
        <f>SUMIF($AD$13:AD143,"=1",$L$13:L143)</f>
        <v>175791912694</v>
      </c>
      <c r="M145" s="134"/>
      <c r="N145" s="135"/>
      <c r="O145" s="133">
        <f>SUMIF($AD$13:AD143,"=1",$O$13:O143)</f>
        <v>175791912694</v>
      </c>
      <c r="P145" s="134"/>
      <c r="Q145" s="135"/>
      <c r="R145" s="133">
        <f>SUMIF($AD$13:AD143,"=1",$R$13:R143)</f>
        <v>565823024658</v>
      </c>
      <c r="S145" s="134"/>
      <c r="T145" s="135"/>
      <c r="U145" s="133">
        <f>SUMIF($AD$13:AD143,"=1",$U$13:U143)</f>
        <v>565823024658</v>
      </c>
      <c r="V145" s="134"/>
      <c r="W145" s="135"/>
      <c r="X145" s="133">
        <f>SUMIF($AD$13:AD143,"=1",$X$13:X143)</f>
        <v>158030987747</v>
      </c>
      <c r="Y145" s="134"/>
      <c r="Z145" s="135"/>
      <c r="AA145" s="128">
        <f>SUMIF($AD$13:AD143,"=1",$AA$13:AA143)</f>
        <v>158030987747</v>
      </c>
      <c r="AB145" s="128"/>
      <c r="AC145" s="128"/>
    </row>
    <row r="146" spans="1:29" ht="15.6" customHeight="1" x14ac:dyDescent="0.2">
      <c r="A146" s="3"/>
      <c r="B146" s="3"/>
      <c r="C146" s="3"/>
      <c r="D146" s="3"/>
      <c r="E146" s="3"/>
      <c r="F146" s="3"/>
      <c r="K146" s="3"/>
      <c r="L146" s="3"/>
      <c r="V146" s="129"/>
      <c r="W146" s="129"/>
      <c r="X146" s="129"/>
      <c r="Y146" s="129"/>
      <c r="Z146" s="129"/>
      <c r="AA146" s="130"/>
      <c r="AB146" s="130"/>
      <c r="AC146" s="130"/>
    </row>
    <row r="147" spans="1:29" ht="15.6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V147" s="131" t="s">
        <v>10</v>
      </c>
      <c r="W147" s="131"/>
      <c r="X147" s="131"/>
      <c r="Y147" s="131"/>
      <c r="Z147" s="131"/>
      <c r="AA147" s="131"/>
      <c r="AB147" s="131"/>
      <c r="AC147" s="131"/>
    </row>
    <row r="148" spans="1:29" ht="15.6" customHeight="1" x14ac:dyDescent="0.2">
      <c r="A148" s="89" t="s">
        <v>11</v>
      </c>
      <c r="B148" s="89"/>
      <c r="C148" s="89"/>
      <c r="D148" s="89"/>
      <c r="E148" s="89"/>
      <c r="F148" s="9"/>
      <c r="G148" s="9"/>
      <c r="K148" s="9"/>
      <c r="L148" s="89" t="s">
        <v>12</v>
      </c>
      <c r="M148" s="89"/>
      <c r="N148" s="89"/>
      <c r="O148" s="89"/>
      <c r="P148" s="89"/>
      <c r="Q148" s="89"/>
      <c r="R148" s="89"/>
      <c r="S148" s="89"/>
      <c r="X148" s="89" t="str">
        <f>IF(("1" ="2"), "NGƯỜI ĐẠI DIỆN THEO PHÁP LUẬT","GIÁM ĐỐC")</f>
        <v>GIÁM ĐỐC</v>
      </c>
      <c r="Y148" s="89"/>
      <c r="Z148" s="89"/>
      <c r="AA148" s="89"/>
      <c r="AB148" s="89"/>
      <c r="AC148" s="89"/>
    </row>
    <row r="149" spans="1:29" ht="15.6" customHeight="1" x14ac:dyDescent="0.2">
      <c r="A149" s="95" t="s">
        <v>14</v>
      </c>
      <c r="B149" s="95"/>
      <c r="C149" s="95"/>
      <c r="D149" s="95"/>
      <c r="E149" s="95"/>
      <c r="F149" s="12"/>
      <c r="G149" s="12"/>
      <c r="K149" s="12"/>
      <c r="L149" s="95" t="s">
        <v>14</v>
      </c>
      <c r="M149" s="95"/>
      <c r="N149" s="95"/>
      <c r="O149" s="95"/>
      <c r="P149" s="95"/>
      <c r="Q149" s="95"/>
      <c r="R149" s="95"/>
      <c r="S149" s="95"/>
      <c r="X149" s="95" t="s">
        <v>16</v>
      </c>
      <c r="Y149" s="95"/>
      <c r="Z149" s="95"/>
      <c r="AA149" s="95"/>
      <c r="AB149" s="95"/>
      <c r="AC149" s="95"/>
    </row>
    <row r="150" spans="1:29" ht="56.8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10"/>
      <c r="P150" s="7"/>
      <c r="Q150" s="7"/>
      <c r="R150" s="7"/>
      <c r="S150" s="7"/>
      <c r="T150" s="7"/>
    </row>
    <row r="151" spans="1:29" ht="15.6" customHeight="1" x14ac:dyDescent="0.2">
      <c r="A151" s="89"/>
      <c r="B151" s="89"/>
      <c r="C151" s="89"/>
      <c r="D151" s="89"/>
      <c r="E151" s="89"/>
      <c r="F151" s="57"/>
      <c r="G151" s="57"/>
      <c r="H151" s="39"/>
      <c r="I151" s="39"/>
      <c r="J151" s="39"/>
      <c r="K151" s="9"/>
      <c r="L151" s="89"/>
      <c r="M151" s="89"/>
      <c r="N151" s="89"/>
      <c r="O151" s="89"/>
      <c r="P151" s="89"/>
      <c r="Q151" s="89"/>
      <c r="R151" s="89"/>
      <c r="S151" s="89"/>
      <c r="X151" s="89" t="s">
        <v>17</v>
      </c>
      <c r="Y151" s="89"/>
      <c r="Z151" s="89"/>
      <c r="AA151" s="89"/>
      <c r="AB151" s="89"/>
      <c r="AC151" s="89"/>
    </row>
    <row r="152" spans="1:29" x14ac:dyDescent="0.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</row>
    <row r="153" spans="1:29" x14ac:dyDescent="0.2">
      <c r="E153" s="39"/>
      <c r="F153" s="39"/>
      <c r="G153" s="39"/>
      <c r="H153" s="39"/>
      <c r="I153" s="39"/>
      <c r="J153" s="39"/>
      <c r="K153" s="39"/>
      <c r="L153" s="39"/>
    </row>
    <row r="154" spans="1:29" x14ac:dyDescent="0.2">
      <c r="C154" s="39"/>
      <c r="D154" s="39"/>
      <c r="E154" s="39"/>
      <c r="F154" s="39"/>
      <c r="G154" s="39"/>
      <c r="H154" s="39"/>
      <c r="I154" s="39"/>
      <c r="J154" s="39"/>
      <c r="K154" s="39"/>
      <c r="L154" s="39"/>
    </row>
    <row r="155" spans="1:29" x14ac:dyDescent="0.2">
      <c r="C155" s="39"/>
      <c r="D155" s="39"/>
      <c r="E155" s="39"/>
      <c r="F155" s="39"/>
      <c r="G155" s="39"/>
      <c r="H155" s="39"/>
      <c r="I155" s="39"/>
      <c r="J155" s="39"/>
      <c r="K155" s="39"/>
      <c r="L155" s="39"/>
    </row>
    <row r="156" spans="1:29" x14ac:dyDescent="0.2">
      <c r="B156" s="49"/>
      <c r="C156" s="49"/>
      <c r="D156" s="49"/>
      <c r="E156" s="49"/>
      <c r="F156" s="49"/>
      <c r="G156" s="49"/>
      <c r="H156" s="49"/>
      <c r="I156" s="49"/>
      <c r="J156" s="39"/>
      <c r="K156" s="39"/>
      <c r="L156" s="39"/>
    </row>
    <row r="157" spans="1:29" x14ac:dyDescent="0.2">
      <c r="B157" s="49"/>
      <c r="C157" s="49"/>
      <c r="D157" s="49"/>
      <c r="E157" s="49"/>
      <c r="F157" s="49"/>
      <c r="G157" s="49"/>
      <c r="H157" s="49"/>
      <c r="I157" s="49"/>
      <c r="J157" s="39"/>
      <c r="K157" s="39"/>
      <c r="L157" s="39"/>
    </row>
    <row r="158" spans="1:29" x14ac:dyDescent="0.2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</row>
    <row r="159" spans="1:29" x14ac:dyDescent="0.2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</row>
    <row r="160" spans="1:29" x14ac:dyDescent="0.2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</row>
    <row r="161" spans="1:12" x14ac:dyDescent="0.2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</row>
  </sheetData>
  <mergeCells count="1094">
    <mergeCell ref="W2:AC2"/>
    <mergeCell ref="W3:AC3"/>
    <mergeCell ref="W4:AC4"/>
    <mergeCell ref="W5:AC5"/>
    <mergeCell ref="A7:AC7"/>
    <mergeCell ref="A8:AC8"/>
    <mergeCell ref="U11:W11"/>
    <mergeCell ref="X11:Z11"/>
    <mergeCell ref="AA11:AC11"/>
    <mergeCell ref="A12:B12"/>
    <mergeCell ref="C12:K12"/>
    <mergeCell ref="L12:N12"/>
    <mergeCell ref="O12:Q12"/>
    <mergeCell ref="R12:T12"/>
    <mergeCell ref="U12:W12"/>
    <mergeCell ref="X12:Z12"/>
    <mergeCell ref="V9:Z9"/>
    <mergeCell ref="AA9:AC9"/>
    <mergeCell ref="A10:B11"/>
    <mergeCell ref="C10:K11"/>
    <mergeCell ref="L10:Q10"/>
    <mergeCell ref="R10:W10"/>
    <mergeCell ref="X10:AC10"/>
    <mergeCell ref="L11:N11"/>
    <mergeCell ref="O11:Q11"/>
    <mergeCell ref="R11:T11"/>
    <mergeCell ref="X14:Z14"/>
    <mergeCell ref="AA14:AC14"/>
    <mergeCell ref="A15:B15"/>
    <mergeCell ref="C15:K15"/>
    <mergeCell ref="L15:N15"/>
    <mergeCell ref="O15:Q15"/>
    <mergeCell ref="R15:T15"/>
    <mergeCell ref="U15:W15"/>
    <mergeCell ref="X15:Z15"/>
    <mergeCell ref="AA15:AC15"/>
    <mergeCell ref="A14:B14"/>
    <mergeCell ref="C14:K14"/>
    <mergeCell ref="L14:N14"/>
    <mergeCell ref="O14:Q14"/>
    <mergeCell ref="R14:T14"/>
    <mergeCell ref="U14:W14"/>
    <mergeCell ref="AA12:AC12"/>
    <mergeCell ref="A13:B13"/>
    <mergeCell ref="C13:K13"/>
    <mergeCell ref="L13:N13"/>
    <mergeCell ref="O13:Q13"/>
    <mergeCell ref="R13:T13"/>
    <mergeCell ref="U13:W13"/>
    <mergeCell ref="X13:Z13"/>
    <mergeCell ref="AA13:AC13"/>
    <mergeCell ref="X18:Z18"/>
    <mergeCell ref="AA18:AC18"/>
    <mergeCell ref="A19:B19"/>
    <mergeCell ref="C19:K19"/>
    <mergeCell ref="L19:N19"/>
    <mergeCell ref="O19:Q19"/>
    <mergeCell ref="R19:T19"/>
    <mergeCell ref="U19:W19"/>
    <mergeCell ref="X19:Z19"/>
    <mergeCell ref="AA19:AC19"/>
    <mergeCell ref="A18:B18"/>
    <mergeCell ref="C18:K18"/>
    <mergeCell ref="L18:N18"/>
    <mergeCell ref="O18:Q18"/>
    <mergeCell ref="R18:T18"/>
    <mergeCell ref="U18:W18"/>
    <mergeCell ref="X16:Z16"/>
    <mergeCell ref="AA16:AC16"/>
    <mergeCell ref="A17:B17"/>
    <mergeCell ref="C17:K17"/>
    <mergeCell ref="L17:N17"/>
    <mergeCell ref="O17:Q17"/>
    <mergeCell ref="R17:T17"/>
    <mergeCell ref="U17:W17"/>
    <mergeCell ref="X17:Z17"/>
    <mergeCell ref="AA17:AC17"/>
    <mergeCell ref="A16:B16"/>
    <mergeCell ref="C16:K16"/>
    <mergeCell ref="L16:N16"/>
    <mergeCell ref="O16:Q16"/>
    <mergeCell ref="R16:T16"/>
    <mergeCell ref="U16:W16"/>
    <mergeCell ref="X22:Z22"/>
    <mergeCell ref="AA22:AC22"/>
    <mergeCell ref="A23:B23"/>
    <mergeCell ref="C23:K23"/>
    <mergeCell ref="L23:N23"/>
    <mergeCell ref="O23:Q23"/>
    <mergeCell ref="R23:T23"/>
    <mergeCell ref="U23:W23"/>
    <mergeCell ref="X23:Z23"/>
    <mergeCell ref="AA23:AC23"/>
    <mergeCell ref="A22:B22"/>
    <mergeCell ref="C22:K22"/>
    <mergeCell ref="L22:N22"/>
    <mergeCell ref="O22:Q22"/>
    <mergeCell ref="R22:T22"/>
    <mergeCell ref="U22:W22"/>
    <mergeCell ref="X20:Z20"/>
    <mergeCell ref="AA20:AC20"/>
    <mergeCell ref="A21:B21"/>
    <mergeCell ref="C21:K21"/>
    <mergeCell ref="L21:N21"/>
    <mergeCell ref="O21:Q21"/>
    <mergeCell ref="R21:T21"/>
    <mergeCell ref="U21:W21"/>
    <mergeCell ref="X21:Z21"/>
    <mergeCell ref="AA21:AC21"/>
    <mergeCell ref="A20:B20"/>
    <mergeCell ref="C20:K20"/>
    <mergeCell ref="L20:N20"/>
    <mergeCell ref="O20:Q20"/>
    <mergeCell ref="R20:T20"/>
    <mergeCell ref="U20:W20"/>
    <mergeCell ref="X26:Z26"/>
    <mergeCell ref="AA26:AC26"/>
    <mergeCell ref="A27:B27"/>
    <mergeCell ref="C27:K27"/>
    <mergeCell ref="L27:N27"/>
    <mergeCell ref="O27:Q27"/>
    <mergeCell ref="R27:T27"/>
    <mergeCell ref="U27:W27"/>
    <mergeCell ref="X27:Z27"/>
    <mergeCell ref="AA27:AC27"/>
    <mergeCell ref="A26:B26"/>
    <mergeCell ref="C26:K26"/>
    <mergeCell ref="L26:N26"/>
    <mergeCell ref="O26:Q26"/>
    <mergeCell ref="R26:T26"/>
    <mergeCell ref="U26:W26"/>
    <mergeCell ref="X24:Z24"/>
    <mergeCell ref="AA24:AC24"/>
    <mergeCell ref="A25:B25"/>
    <mergeCell ref="C25:K25"/>
    <mergeCell ref="L25:N25"/>
    <mergeCell ref="O25:Q25"/>
    <mergeCell ref="R25:T25"/>
    <mergeCell ref="U25:W25"/>
    <mergeCell ref="X25:Z25"/>
    <mergeCell ref="AA25:AC25"/>
    <mergeCell ref="A24:B24"/>
    <mergeCell ref="C24:K24"/>
    <mergeCell ref="L24:N24"/>
    <mergeCell ref="O24:Q24"/>
    <mergeCell ref="R24:T24"/>
    <mergeCell ref="U24:W24"/>
    <mergeCell ref="X30:Z30"/>
    <mergeCell ref="AA30:AC30"/>
    <mergeCell ref="A31:B31"/>
    <mergeCell ref="C31:K31"/>
    <mergeCell ref="L31:N31"/>
    <mergeCell ref="O31:Q31"/>
    <mergeCell ref="R31:T31"/>
    <mergeCell ref="U31:W31"/>
    <mergeCell ref="X31:Z31"/>
    <mergeCell ref="AA31:AC31"/>
    <mergeCell ref="A30:B30"/>
    <mergeCell ref="C30:K30"/>
    <mergeCell ref="L30:N30"/>
    <mergeCell ref="O30:Q30"/>
    <mergeCell ref="R30:T30"/>
    <mergeCell ref="U30:W30"/>
    <mergeCell ref="X28:Z28"/>
    <mergeCell ref="AA28:AC28"/>
    <mergeCell ref="A29:B29"/>
    <mergeCell ref="C29:K29"/>
    <mergeCell ref="L29:N29"/>
    <mergeCell ref="O29:Q29"/>
    <mergeCell ref="R29:T29"/>
    <mergeCell ref="U29:W29"/>
    <mergeCell ref="X29:Z29"/>
    <mergeCell ref="AA29:AC29"/>
    <mergeCell ref="A28:B28"/>
    <mergeCell ref="C28:K28"/>
    <mergeCell ref="L28:N28"/>
    <mergeCell ref="O28:Q28"/>
    <mergeCell ref="R28:T28"/>
    <mergeCell ref="U28:W28"/>
    <mergeCell ref="X34:Z34"/>
    <mergeCell ref="AA34:AC34"/>
    <mergeCell ref="A35:B35"/>
    <mergeCell ref="C35:K35"/>
    <mergeCell ref="L35:N35"/>
    <mergeCell ref="O35:Q35"/>
    <mergeCell ref="R35:T35"/>
    <mergeCell ref="U35:W35"/>
    <mergeCell ref="X35:Z35"/>
    <mergeCell ref="AA35:AC35"/>
    <mergeCell ref="A34:B34"/>
    <mergeCell ref="C34:K34"/>
    <mergeCell ref="L34:N34"/>
    <mergeCell ref="O34:Q34"/>
    <mergeCell ref="R34:T34"/>
    <mergeCell ref="U34:W34"/>
    <mergeCell ref="X32:Z32"/>
    <mergeCell ref="AA32:AC32"/>
    <mergeCell ref="A33:B33"/>
    <mergeCell ref="C33:K33"/>
    <mergeCell ref="L33:N33"/>
    <mergeCell ref="O33:Q33"/>
    <mergeCell ref="R33:T33"/>
    <mergeCell ref="U33:W33"/>
    <mergeCell ref="X33:Z33"/>
    <mergeCell ref="AA33:AC33"/>
    <mergeCell ref="A32:B32"/>
    <mergeCell ref="C32:K32"/>
    <mergeCell ref="L32:N32"/>
    <mergeCell ref="O32:Q32"/>
    <mergeCell ref="R32:T32"/>
    <mergeCell ref="U32:W32"/>
    <mergeCell ref="X38:Z38"/>
    <mergeCell ref="AA38:AC38"/>
    <mergeCell ref="A39:B39"/>
    <mergeCell ref="C39:K39"/>
    <mergeCell ref="L39:N39"/>
    <mergeCell ref="O39:Q39"/>
    <mergeCell ref="R39:T39"/>
    <mergeCell ref="U39:W39"/>
    <mergeCell ref="X39:Z39"/>
    <mergeCell ref="AA39:AC39"/>
    <mergeCell ref="A38:B38"/>
    <mergeCell ref="C38:K38"/>
    <mergeCell ref="L38:N38"/>
    <mergeCell ref="O38:Q38"/>
    <mergeCell ref="R38:T38"/>
    <mergeCell ref="U38:W38"/>
    <mergeCell ref="X36:Z36"/>
    <mergeCell ref="AA36:AC36"/>
    <mergeCell ref="A37:B37"/>
    <mergeCell ref="C37:K37"/>
    <mergeCell ref="L37:N37"/>
    <mergeCell ref="O37:Q37"/>
    <mergeCell ref="R37:T37"/>
    <mergeCell ref="U37:W37"/>
    <mergeCell ref="X37:Z37"/>
    <mergeCell ref="AA37:AC37"/>
    <mergeCell ref="A36:B36"/>
    <mergeCell ref="C36:K36"/>
    <mergeCell ref="L36:N36"/>
    <mergeCell ref="O36:Q36"/>
    <mergeCell ref="R36:T36"/>
    <mergeCell ref="U36:W36"/>
    <mergeCell ref="X42:Z42"/>
    <mergeCell ref="AA42:AC42"/>
    <mergeCell ref="A43:B43"/>
    <mergeCell ref="C43:K43"/>
    <mergeCell ref="L43:N43"/>
    <mergeCell ref="O43:Q43"/>
    <mergeCell ref="R43:T43"/>
    <mergeCell ref="U43:W43"/>
    <mergeCell ref="X43:Z43"/>
    <mergeCell ref="AA43:AC43"/>
    <mergeCell ref="A42:B42"/>
    <mergeCell ref="C42:K42"/>
    <mergeCell ref="L42:N42"/>
    <mergeCell ref="O42:Q42"/>
    <mergeCell ref="R42:T42"/>
    <mergeCell ref="U42:W42"/>
    <mergeCell ref="X40:Z40"/>
    <mergeCell ref="AA40:AC40"/>
    <mergeCell ref="A41:B41"/>
    <mergeCell ref="C41:K41"/>
    <mergeCell ref="L41:N41"/>
    <mergeCell ref="O41:Q41"/>
    <mergeCell ref="R41:T41"/>
    <mergeCell ref="U41:W41"/>
    <mergeCell ref="X41:Z41"/>
    <mergeCell ref="AA41:AC41"/>
    <mergeCell ref="A40:B40"/>
    <mergeCell ref="C40:K40"/>
    <mergeCell ref="L40:N40"/>
    <mergeCell ref="O40:Q40"/>
    <mergeCell ref="R40:T40"/>
    <mergeCell ref="U40:W40"/>
    <mergeCell ref="X46:Z46"/>
    <mergeCell ref="AA46:AC46"/>
    <mergeCell ref="A47:B47"/>
    <mergeCell ref="C47:K47"/>
    <mergeCell ref="L47:N47"/>
    <mergeCell ref="O47:Q47"/>
    <mergeCell ref="R47:T47"/>
    <mergeCell ref="U47:W47"/>
    <mergeCell ref="X47:Z47"/>
    <mergeCell ref="AA47:AC47"/>
    <mergeCell ref="A46:B46"/>
    <mergeCell ref="C46:K46"/>
    <mergeCell ref="L46:N46"/>
    <mergeCell ref="O46:Q46"/>
    <mergeCell ref="R46:T46"/>
    <mergeCell ref="U46:W46"/>
    <mergeCell ref="X44:Z44"/>
    <mergeCell ref="AA44:AC44"/>
    <mergeCell ref="A45:B45"/>
    <mergeCell ref="C45:K45"/>
    <mergeCell ref="L45:N45"/>
    <mergeCell ref="O45:Q45"/>
    <mergeCell ref="R45:T45"/>
    <mergeCell ref="U45:W45"/>
    <mergeCell ref="X45:Z45"/>
    <mergeCell ref="AA45:AC45"/>
    <mergeCell ref="A44:B44"/>
    <mergeCell ref="C44:K44"/>
    <mergeCell ref="L44:N44"/>
    <mergeCell ref="O44:Q44"/>
    <mergeCell ref="R44:T44"/>
    <mergeCell ref="U44:W44"/>
    <mergeCell ref="X50:Z50"/>
    <mergeCell ref="AA50:AC50"/>
    <mergeCell ref="A51:B51"/>
    <mergeCell ref="C51:K51"/>
    <mergeCell ref="L51:N51"/>
    <mergeCell ref="O51:Q51"/>
    <mergeCell ref="R51:T51"/>
    <mergeCell ref="U51:W51"/>
    <mergeCell ref="X51:Z51"/>
    <mergeCell ref="AA51:AC51"/>
    <mergeCell ref="A50:B50"/>
    <mergeCell ref="C50:K50"/>
    <mergeCell ref="L50:N50"/>
    <mergeCell ref="O50:Q50"/>
    <mergeCell ref="R50:T50"/>
    <mergeCell ref="U50:W50"/>
    <mergeCell ref="X48:Z48"/>
    <mergeCell ref="AA48:AC48"/>
    <mergeCell ref="A49:B49"/>
    <mergeCell ref="C49:K49"/>
    <mergeCell ref="L49:N49"/>
    <mergeCell ref="O49:Q49"/>
    <mergeCell ref="R49:T49"/>
    <mergeCell ref="U49:W49"/>
    <mergeCell ref="X49:Z49"/>
    <mergeCell ref="AA49:AC49"/>
    <mergeCell ref="A48:B48"/>
    <mergeCell ref="C48:K48"/>
    <mergeCell ref="L48:N48"/>
    <mergeCell ref="O48:Q48"/>
    <mergeCell ref="R48:T48"/>
    <mergeCell ref="U48:W48"/>
    <mergeCell ref="X54:Z54"/>
    <mergeCell ref="AA54:AC54"/>
    <mergeCell ref="A55:B55"/>
    <mergeCell ref="C55:K55"/>
    <mergeCell ref="L55:N55"/>
    <mergeCell ref="O55:Q55"/>
    <mergeCell ref="R55:T55"/>
    <mergeCell ref="U55:W55"/>
    <mergeCell ref="X55:Z55"/>
    <mergeCell ref="AA55:AC55"/>
    <mergeCell ref="A54:B54"/>
    <mergeCell ref="C54:K54"/>
    <mergeCell ref="L54:N54"/>
    <mergeCell ref="O54:Q54"/>
    <mergeCell ref="R54:T54"/>
    <mergeCell ref="U54:W54"/>
    <mergeCell ref="X52:Z52"/>
    <mergeCell ref="AA52:AC52"/>
    <mergeCell ref="A53:B53"/>
    <mergeCell ref="C53:K53"/>
    <mergeCell ref="L53:N53"/>
    <mergeCell ref="O53:Q53"/>
    <mergeCell ref="R53:T53"/>
    <mergeCell ref="U53:W53"/>
    <mergeCell ref="X53:Z53"/>
    <mergeCell ref="AA53:AC53"/>
    <mergeCell ref="A52:B52"/>
    <mergeCell ref="C52:K52"/>
    <mergeCell ref="L52:N52"/>
    <mergeCell ref="O52:Q52"/>
    <mergeCell ref="R52:T52"/>
    <mergeCell ref="U52:W52"/>
    <mergeCell ref="X58:Z58"/>
    <mergeCell ref="AA58:AC58"/>
    <mergeCell ref="A59:B59"/>
    <mergeCell ref="C59:K59"/>
    <mergeCell ref="L59:N59"/>
    <mergeCell ref="O59:Q59"/>
    <mergeCell ref="R59:T59"/>
    <mergeCell ref="U59:W59"/>
    <mergeCell ref="X59:Z59"/>
    <mergeCell ref="AA59:AC59"/>
    <mergeCell ref="A58:B58"/>
    <mergeCell ref="C58:K58"/>
    <mergeCell ref="L58:N58"/>
    <mergeCell ref="O58:Q58"/>
    <mergeCell ref="R58:T58"/>
    <mergeCell ref="U58:W58"/>
    <mergeCell ref="X56:Z56"/>
    <mergeCell ref="AA56:AC56"/>
    <mergeCell ref="A57:B57"/>
    <mergeCell ref="C57:K57"/>
    <mergeCell ref="L57:N57"/>
    <mergeCell ref="O57:Q57"/>
    <mergeCell ref="R57:T57"/>
    <mergeCell ref="U57:W57"/>
    <mergeCell ref="X57:Z57"/>
    <mergeCell ref="AA57:AC57"/>
    <mergeCell ref="A56:B56"/>
    <mergeCell ref="C56:K56"/>
    <mergeCell ref="L56:N56"/>
    <mergeCell ref="O56:Q56"/>
    <mergeCell ref="R56:T56"/>
    <mergeCell ref="U56:W56"/>
    <mergeCell ref="X62:Z62"/>
    <mergeCell ref="AA62:AC62"/>
    <mergeCell ref="A63:B63"/>
    <mergeCell ref="C63:K63"/>
    <mergeCell ref="L63:N63"/>
    <mergeCell ref="O63:Q63"/>
    <mergeCell ref="R63:T63"/>
    <mergeCell ref="U63:W63"/>
    <mergeCell ref="X63:Z63"/>
    <mergeCell ref="AA63:AC63"/>
    <mergeCell ref="A62:B62"/>
    <mergeCell ref="C62:K62"/>
    <mergeCell ref="L62:N62"/>
    <mergeCell ref="O62:Q62"/>
    <mergeCell ref="R62:T62"/>
    <mergeCell ref="U62:W62"/>
    <mergeCell ref="X60:Z60"/>
    <mergeCell ref="AA60:AC60"/>
    <mergeCell ref="A61:B61"/>
    <mergeCell ref="C61:K61"/>
    <mergeCell ref="L61:N61"/>
    <mergeCell ref="O61:Q61"/>
    <mergeCell ref="R61:T61"/>
    <mergeCell ref="U61:W61"/>
    <mergeCell ref="X61:Z61"/>
    <mergeCell ref="AA61:AC61"/>
    <mergeCell ref="A60:B60"/>
    <mergeCell ref="C60:K60"/>
    <mergeCell ref="L60:N60"/>
    <mergeCell ref="O60:Q60"/>
    <mergeCell ref="R60:T60"/>
    <mergeCell ref="U60:W60"/>
    <mergeCell ref="X66:Z66"/>
    <mergeCell ref="AA66:AC66"/>
    <mergeCell ref="A67:B67"/>
    <mergeCell ref="C67:K67"/>
    <mergeCell ref="L67:N67"/>
    <mergeCell ref="O67:Q67"/>
    <mergeCell ref="R67:T67"/>
    <mergeCell ref="U67:W67"/>
    <mergeCell ref="X67:Z67"/>
    <mergeCell ref="AA67:AC67"/>
    <mergeCell ref="A66:B66"/>
    <mergeCell ref="C66:K66"/>
    <mergeCell ref="L66:N66"/>
    <mergeCell ref="O66:Q66"/>
    <mergeCell ref="R66:T66"/>
    <mergeCell ref="U66:W66"/>
    <mergeCell ref="X64:Z64"/>
    <mergeCell ref="AA64:AC64"/>
    <mergeCell ref="A65:B65"/>
    <mergeCell ref="C65:K65"/>
    <mergeCell ref="L65:N65"/>
    <mergeCell ref="O65:Q65"/>
    <mergeCell ref="R65:T65"/>
    <mergeCell ref="U65:W65"/>
    <mergeCell ref="X65:Z65"/>
    <mergeCell ref="AA65:AC65"/>
    <mergeCell ref="A64:B64"/>
    <mergeCell ref="C64:K64"/>
    <mergeCell ref="L64:N64"/>
    <mergeCell ref="O64:Q64"/>
    <mergeCell ref="R64:T64"/>
    <mergeCell ref="U64:W64"/>
    <mergeCell ref="X70:Z70"/>
    <mergeCell ref="AA70:AC70"/>
    <mergeCell ref="A71:B71"/>
    <mergeCell ref="C71:K71"/>
    <mergeCell ref="L71:N71"/>
    <mergeCell ref="O71:Q71"/>
    <mergeCell ref="R71:T71"/>
    <mergeCell ref="U71:W71"/>
    <mergeCell ref="X71:Z71"/>
    <mergeCell ref="AA71:AC71"/>
    <mergeCell ref="A70:B70"/>
    <mergeCell ref="C70:K70"/>
    <mergeCell ref="L70:N70"/>
    <mergeCell ref="O70:Q70"/>
    <mergeCell ref="R70:T70"/>
    <mergeCell ref="U70:W70"/>
    <mergeCell ref="X68:Z68"/>
    <mergeCell ref="AA68:AC68"/>
    <mergeCell ref="A69:B69"/>
    <mergeCell ref="C69:K69"/>
    <mergeCell ref="L69:N69"/>
    <mergeCell ref="O69:Q69"/>
    <mergeCell ref="R69:T69"/>
    <mergeCell ref="U69:W69"/>
    <mergeCell ref="X69:Z69"/>
    <mergeCell ref="AA69:AC69"/>
    <mergeCell ref="A68:B68"/>
    <mergeCell ref="C68:K68"/>
    <mergeCell ref="L68:N68"/>
    <mergeCell ref="O68:Q68"/>
    <mergeCell ref="R68:T68"/>
    <mergeCell ref="U68:W68"/>
    <mergeCell ref="X74:Z74"/>
    <mergeCell ref="AA74:AC74"/>
    <mergeCell ref="A75:B75"/>
    <mergeCell ref="C75:K75"/>
    <mergeCell ref="L75:N75"/>
    <mergeCell ref="O75:Q75"/>
    <mergeCell ref="R75:T75"/>
    <mergeCell ref="U75:W75"/>
    <mergeCell ref="X75:Z75"/>
    <mergeCell ref="AA75:AC75"/>
    <mergeCell ref="A74:B74"/>
    <mergeCell ref="C74:K74"/>
    <mergeCell ref="L74:N74"/>
    <mergeCell ref="O74:Q74"/>
    <mergeCell ref="R74:T74"/>
    <mergeCell ref="U74:W74"/>
    <mergeCell ref="X72:Z72"/>
    <mergeCell ref="AA72:AC72"/>
    <mergeCell ref="A73:B73"/>
    <mergeCell ref="C73:K73"/>
    <mergeCell ref="L73:N73"/>
    <mergeCell ref="O73:Q73"/>
    <mergeCell ref="R73:T73"/>
    <mergeCell ref="U73:W73"/>
    <mergeCell ref="X73:Z73"/>
    <mergeCell ref="AA73:AC73"/>
    <mergeCell ref="A72:B72"/>
    <mergeCell ref="C72:K72"/>
    <mergeCell ref="L72:N72"/>
    <mergeCell ref="O72:Q72"/>
    <mergeCell ref="R72:T72"/>
    <mergeCell ref="U72:W72"/>
    <mergeCell ref="X78:Z78"/>
    <mergeCell ref="AA78:AC78"/>
    <mergeCell ref="A79:B79"/>
    <mergeCell ref="C79:K79"/>
    <mergeCell ref="L79:N79"/>
    <mergeCell ref="O79:Q79"/>
    <mergeCell ref="R79:T79"/>
    <mergeCell ref="U79:W79"/>
    <mergeCell ref="X79:Z79"/>
    <mergeCell ref="AA79:AC79"/>
    <mergeCell ref="A78:B78"/>
    <mergeCell ref="C78:K78"/>
    <mergeCell ref="L78:N78"/>
    <mergeCell ref="O78:Q78"/>
    <mergeCell ref="R78:T78"/>
    <mergeCell ref="U78:W78"/>
    <mergeCell ref="X76:Z76"/>
    <mergeCell ref="AA76:AC76"/>
    <mergeCell ref="A77:B77"/>
    <mergeCell ref="C77:K77"/>
    <mergeCell ref="L77:N77"/>
    <mergeCell ref="O77:Q77"/>
    <mergeCell ref="R77:T77"/>
    <mergeCell ref="U77:W77"/>
    <mergeCell ref="X77:Z77"/>
    <mergeCell ref="AA77:AC77"/>
    <mergeCell ref="A76:B76"/>
    <mergeCell ref="C76:K76"/>
    <mergeCell ref="L76:N76"/>
    <mergeCell ref="O76:Q76"/>
    <mergeCell ref="R76:T76"/>
    <mergeCell ref="U76:W76"/>
    <mergeCell ref="X82:Z82"/>
    <mergeCell ref="AA82:AC82"/>
    <mergeCell ref="A83:B83"/>
    <mergeCell ref="C83:K83"/>
    <mergeCell ref="L83:N83"/>
    <mergeCell ref="O83:Q83"/>
    <mergeCell ref="R83:T83"/>
    <mergeCell ref="U83:W83"/>
    <mergeCell ref="X83:Z83"/>
    <mergeCell ref="AA83:AC83"/>
    <mergeCell ref="A82:B82"/>
    <mergeCell ref="C82:K82"/>
    <mergeCell ref="L82:N82"/>
    <mergeCell ref="O82:Q82"/>
    <mergeCell ref="R82:T82"/>
    <mergeCell ref="U82:W82"/>
    <mergeCell ref="X80:Z80"/>
    <mergeCell ref="AA80:AC80"/>
    <mergeCell ref="A81:B81"/>
    <mergeCell ref="C81:K81"/>
    <mergeCell ref="L81:N81"/>
    <mergeCell ref="O81:Q81"/>
    <mergeCell ref="R81:T81"/>
    <mergeCell ref="U81:W81"/>
    <mergeCell ref="X81:Z81"/>
    <mergeCell ref="AA81:AC81"/>
    <mergeCell ref="A80:B80"/>
    <mergeCell ref="C80:K80"/>
    <mergeCell ref="L80:N80"/>
    <mergeCell ref="O80:Q80"/>
    <mergeCell ref="R80:T80"/>
    <mergeCell ref="U80:W80"/>
    <mergeCell ref="X86:Z86"/>
    <mergeCell ref="AA86:AC86"/>
    <mergeCell ref="A87:B87"/>
    <mergeCell ref="C87:K87"/>
    <mergeCell ref="L87:N87"/>
    <mergeCell ref="O87:Q87"/>
    <mergeCell ref="R87:T87"/>
    <mergeCell ref="U87:W87"/>
    <mergeCell ref="X87:Z87"/>
    <mergeCell ref="AA87:AC87"/>
    <mergeCell ref="A86:B86"/>
    <mergeCell ref="C86:K86"/>
    <mergeCell ref="L86:N86"/>
    <mergeCell ref="O86:Q86"/>
    <mergeCell ref="R86:T86"/>
    <mergeCell ref="U86:W86"/>
    <mergeCell ref="X84:Z84"/>
    <mergeCell ref="AA84:AC84"/>
    <mergeCell ref="A85:B85"/>
    <mergeCell ref="C85:K85"/>
    <mergeCell ref="L85:N85"/>
    <mergeCell ref="O85:Q85"/>
    <mergeCell ref="R85:T85"/>
    <mergeCell ref="U85:W85"/>
    <mergeCell ref="X85:Z85"/>
    <mergeCell ref="AA85:AC85"/>
    <mergeCell ref="A84:B84"/>
    <mergeCell ref="C84:K84"/>
    <mergeCell ref="L84:N84"/>
    <mergeCell ref="O84:Q84"/>
    <mergeCell ref="R84:T84"/>
    <mergeCell ref="U84:W84"/>
    <mergeCell ref="X90:Z90"/>
    <mergeCell ref="AA90:AC90"/>
    <mergeCell ref="A91:B91"/>
    <mergeCell ref="C91:K91"/>
    <mergeCell ref="L91:N91"/>
    <mergeCell ref="O91:Q91"/>
    <mergeCell ref="R91:T91"/>
    <mergeCell ref="U91:W91"/>
    <mergeCell ref="X91:Z91"/>
    <mergeCell ref="AA91:AC91"/>
    <mergeCell ref="A90:B90"/>
    <mergeCell ref="C90:K90"/>
    <mergeCell ref="L90:N90"/>
    <mergeCell ref="O90:Q90"/>
    <mergeCell ref="R90:T90"/>
    <mergeCell ref="U90:W90"/>
    <mergeCell ref="X88:Z88"/>
    <mergeCell ref="AA88:AC88"/>
    <mergeCell ref="A89:B89"/>
    <mergeCell ref="C89:K89"/>
    <mergeCell ref="L89:N89"/>
    <mergeCell ref="O89:Q89"/>
    <mergeCell ref="R89:T89"/>
    <mergeCell ref="U89:W89"/>
    <mergeCell ref="X89:Z89"/>
    <mergeCell ref="AA89:AC89"/>
    <mergeCell ref="A88:B88"/>
    <mergeCell ref="C88:K88"/>
    <mergeCell ref="L88:N88"/>
    <mergeCell ref="O88:Q88"/>
    <mergeCell ref="R88:T88"/>
    <mergeCell ref="U88:W88"/>
    <mergeCell ref="X94:Z94"/>
    <mergeCell ref="AA94:AC94"/>
    <mergeCell ref="A95:B95"/>
    <mergeCell ref="C95:K95"/>
    <mergeCell ref="L95:N95"/>
    <mergeCell ref="O95:Q95"/>
    <mergeCell ref="R95:T95"/>
    <mergeCell ref="U95:W95"/>
    <mergeCell ref="X95:Z95"/>
    <mergeCell ref="AA95:AC95"/>
    <mergeCell ref="A94:B94"/>
    <mergeCell ref="C94:K94"/>
    <mergeCell ref="L94:N94"/>
    <mergeCell ref="O94:Q94"/>
    <mergeCell ref="R94:T94"/>
    <mergeCell ref="U94:W94"/>
    <mergeCell ref="X92:Z92"/>
    <mergeCell ref="AA92:AC92"/>
    <mergeCell ref="A93:B93"/>
    <mergeCell ref="C93:K93"/>
    <mergeCell ref="L93:N93"/>
    <mergeCell ref="O93:Q93"/>
    <mergeCell ref="R93:T93"/>
    <mergeCell ref="U93:W93"/>
    <mergeCell ref="X93:Z93"/>
    <mergeCell ref="AA93:AC93"/>
    <mergeCell ref="A92:B92"/>
    <mergeCell ref="C92:K92"/>
    <mergeCell ref="L92:N92"/>
    <mergeCell ref="O92:Q92"/>
    <mergeCell ref="R92:T92"/>
    <mergeCell ref="U92:W92"/>
    <mergeCell ref="X98:Z98"/>
    <mergeCell ref="AA98:AC98"/>
    <mergeCell ref="A99:B99"/>
    <mergeCell ref="C99:K99"/>
    <mergeCell ref="L99:N99"/>
    <mergeCell ref="O99:Q99"/>
    <mergeCell ref="R99:T99"/>
    <mergeCell ref="U99:W99"/>
    <mergeCell ref="X99:Z99"/>
    <mergeCell ref="AA99:AC99"/>
    <mergeCell ref="A98:B98"/>
    <mergeCell ref="C98:K98"/>
    <mergeCell ref="L98:N98"/>
    <mergeCell ref="O98:Q98"/>
    <mergeCell ref="R98:T98"/>
    <mergeCell ref="U98:W98"/>
    <mergeCell ref="X96:Z96"/>
    <mergeCell ref="AA96:AC96"/>
    <mergeCell ref="A97:B97"/>
    <mergeCell ref="C97:K97"/>
    <mergeCell ref="L97:N97"/>
    <mergeCell ref="O97:Q97"/>
    <mergeCell ref="R97:T97"/>
    <mergeCell ref="U97:W97"/>
    <mergeCell ref="X97:Z97"/>
    <mergeCell ref="AA97:AC97"/>
    <mergeCell ref="A96:B96"/>
    <mergeCell ref="C96:K96"/>
    <mergeCell ref="L96:N96"/>
    <mergeCell ref="O96:Q96"/>
    <mergeCell ref="R96:T96"/>
    <mergeCell ref="U96:W96"/>
    <mergeCell ref="X102:Z102"/>
    <mergeCell ref="AA102:AC102"/>
    <mergeCell ref="A103:B103"/>
    <mergeCell ref="C103:K103"/>
    <mergeCell ref="L103:N103"/>
    <mergeCell ref="O103:Q103"/>
    <mergeCell ref="R103:T103"/>
    <mergeCell ref="U103:W103"/>
    <mergeCell ref="X103:Z103"/>
    <mergeCell ref="AA103:AC103"/>
    <mergeCell ref="A102:B102"/>
    <mergeCell ref="C102:K102"/>
    <mergeCell ref="L102:N102"/>
    <mergeCell ref="O102:Q102"/>
    <mergeCell ref="R102:T102"/>
    <mergeCell ref="U102:W102"/>
    <mergeCell ref="X100:Z100"/>
    <mergeCell ref="AA100:AC100"/>
    <mergeCell ref="A101:B101"/>
    <mergeCell ref="C101:K101"/>
    <mergeCell ref="L101:N101"/>
    <mergeCell ref="O101:Q101"/>
    <mergeCell ref="R101:T101"/>
    <mergeCell ref="U101:W101"/>
    <mergeCell ref="X101:Z101"/>
    <mergeCell ref="AA101:AC101"/>
    <mergeCell ref="A100:B100"/>
    <mergeCell ref="C100:K100"/>
    <mergeCell ref="L100:N100"/>
    <mergeCell ref="O100:Q100"/>
    <mergeCell ref="R100:T100"/>
    <mergeCell ref="U100:W100"/>
    <mergeCell ref="X106:Z106"/>
    <mergeCell ref="AA106:AC106"/>
    <mergeCell ref="A107:B107"/>
    <mergeCell ref="C107:K107"/>
    <mergeCell ref="L107:N107"/>
    <mergeCell ref="O107:Q107"/>
    <mergeCell ref="R107:T107"/>
    <mergeCell ref="U107:W107"/>
    <mergeCell ref="X107:Z107"/>
    <mergeCell ref="AA107:AC107"/>
    <mergeCell ref="A106:B106"/>
    <mergeCell ref="C106:K106"/>
    <mergeCell ref="L106:N106"/>
    <mergeCell ref="O106:Q106"/>
    <mergeCell ref="R106:T106"/>
    <mergeCell ref="U106:W106"/>
    <mergeCell ref="X104:Z104"/>
    <mergeCell ref="AA104:AC104"/>
    <mergeCell ref="A105:B105"/>
    <mergeCell ref="C105:K105"/>
    <mergeCell ref="L105:N105"/>
    <mergeCell ref="O105:Q105"/>
    <mergeCell ref="R105:T105"/>
    <mergeCell ref="U105:W105"/>
    <mergeCell ref="X105:Z105"/>
    <mergeCell ref="AA105:AC105"/>
    <mergeCell ref="A104:B104"/>
    <mergeCell ref="C104:K104"/>
    <mergeCell ref="L104:N104"/>
    <mergeCell ref="O104:Q104"/>
    <mergeCell ref="R104:T104"/>
    <mergeCell ref="U104:W104"/>
    <mergeCell ref="X110:Z110"/>
    <mergeCell ref="AA110:AC110"/>
    <mergeCell ref="A111:B111"/>
    <mergeCell ref="C111:K111"/>
    <mergeCell ref="L111:N111"/>
    <mergeCell ref="O111:Q111"/>
    <mergeCell ref="R111:T111"/>
    <mergeCell ref="U111:W111"/>
    <mergeCell ref="X111:Z111"/>
    <mergeCell ref="AA111:AC111"/>
    <mergeCell ref="A110:B110"/>
    <mergeCell ref="C110:K110"/>
    <mergeCell ref="L110:N110"/>
    <mergeCell ref="O110:Q110"/>
    <mergeCell ref="R110:T110"/>
    <mergeCell ref="U110:W110"/>
    <mergeCell ref="X108:Z108"/>
    <mergeCell ref="AA108:AC108"/>
    <mergeCell ref="A109:B109"/>
    <mergeCell ref="C109:K109"/>
    <mergeCell ref="L109:N109"/>
    <mergeCell ref="O109:Q109"/>
    <mergeCell ref="R109:T109"/>
    <mergeCell ref="U109:W109"/>
    <mergeCell ref="X109:Z109"/>
    <mergeCell ref="AA109:AC109"/>
    <mergeCell ref="A108:B108"/>
    <mergeCell ref="C108:K108"/>
    <mergeCell ref="L108:N108"/>
    <mergeCell ref="O108:Q108"/>
    <mergeCell ref="R108:T108"/>
    <mergeCell ref="U108:W108"/>
    <mergeCell ref="X114:Z114"/>
    <mergeCell ref="AA114:AC114"/>
    <mergeCell ref="A115:B115"/>
    <mergeCell ref="C115:K115"/>
    <mergeCell ref="L115:N115"/>
    <mergeCell ref="O115:Q115"/>
    <mergeCell ref="R115:T115"/>
    <mergeCell ref="U115:W115"/>
    <mergeCell ref="X115:Z115"/>
    <mergeCell ref="AA115:AC115"/>
    <mergeCell ref="A114:B114"/>
    <mergeCell ref="C114:K114"/>
    <mergeCell ref="L114:N114"/>
    <mergeCell ref="O114:Q114"/>
    <mergeCell ref="R114:T114"/>
    <mergeCell ref="U114:W114"/>
    <mergeCell ref="X112:Z112"/>
    <mergeCell ref="AA112:AC112"/>
    <mergeCell ref="A113:B113"/>
    <mergeCell ref="C113:K113"/>
    <mergeCell ref="L113:N113"/>
    <mergeCell ref="O113:Q113"/>
    <mergeCell ref="R113:T113"/>
    <mergeCell ref="U113:W113"/>
    <mergeCell ref="X113:Z113"/>
    <mergeCell ref="AA113:AC113"/>
    <mergeCell ref="A112:B112"/>
    <mergeCell ref="C112:K112"/>
    <mergeCell ref="L112:N112"/>
    <mergeCell ref="O112:Q112"/>
    <mergeCell ref="R112:T112"/>
    <mergeCell ref="U112:W112"/>
    <mergeCell ref="X118:Z118"/>
    <mergeCell ref="AA118:AC118"/>
    <mergeCell ref="A119:B119"/>
    <mergeCell ref="C119:K119"/>
    <mergeCell ref="L119:N119"/>
    <mergeCell ref="O119:Q119"/>
    <mergeCell ref="R119:T119"/>
    <mergeCell ref="U119:W119"/>
    <mergeCell ref="X119:Z119"/>
    <mergeCell ref="AA119:AC119"/>
    <mergeCell ref="A118:B118"/>
    <mergeCell ref="C118:K118"/>
    <mergeCell ref="L118:N118"/>
    <mergeCell ref="O118:Q118"/>
    <mergeCell ref="R118:T118"/>
    <mergeCell ref="U118:W118"/>
    <mergeCell ref="X116:Z116"/>
    <mergeCell ref="AA116:AC116"/>
    <mergeCell ref="A117:B117"/>
    <mergeCell ref="C117:K117"/>
    <mergeCell ref="L117:N117"/>
    <mergeCell ref="O117:Q117"/>
    <mergeCell ref="R117:T117"/>
    <mergeCell ref="U117:W117"/>
    <mergeCell ref="X117:Z117"/>
    <mergeCell ref="AA117:AC117"/>
    <mergeCell ref="A116:B116"/>
    <mergeCell ref="C116:K116"/>
    <mergeCell ref="L116:N116"/>
    <mergeCell ref="O116:Q116"/>
    <mergeCell ref="R116:T116"/>
    <mergeCell ref="U116:W116"/>
    <mergeCell ref="X122:Z122"/>
    <mergeCell ref="AA122:AC122"/>
    <mergeCell ref="A123:B123"/>
    <mergeCell ref="C123:K123"/>
    <mergeCell ref="L123:N123"/>
    <mergeCell ref="O123:Q123"/>
    <mergeCell ref="R123:T123"/>
    <mergeCell ref="U123:W123"/>
    <mergeCell ref="X123:Z123"/>
    <mergeCell ref="AA123:AC123"/>
    <mergeCell ref="A122:B122"/>
    <mergeCell ref="C122:K122"/>
    <mergeCell ref="L122:N122"/>
    <mergeCell ref="O122:Q122"/>
    <mergeCell ref="R122:T122"/>
    <mergeCell ref="U122:W122"/>
    <mergeCell ref="X120:Z120"/>
    <mergeCell ref="AA120:AC120"/>
    <mergeCell ref="A121:B121"/>
    <mergeCell ref="C121:K121"/>
    <mergeCell ref="L121:N121"/>
    <mergeCell ref="O121:Q121"/>
    <mergeCell ref="R121:T121"/>
    <mergeCell ref="U121:W121"/>
    <mergeCell ref="X121:Z121"/>
    <mergeCell ref="AA121:AC121"/>
    <mergeCell ref="A120:B120"/>
    <mergeCell ref="C120:K120"/>
    <mergeCell ref="L120:N120"/>
    <mergeCell ref="O120:Q120"/>
    <mergeCell ref="R120:T120"/>
    <mergeCell ref="U120:W120"/>
    <mergeCell ref="X126:Z126"/>
    <mergeCell ref="AA126:AC126"/>
    <mergeCell ref="A127:B127"/>
    <mergeCell ref="C127:K127"/>
    <mergeCell ref="L127:N127"/>
    <mergeCell ref="O127:Q127"/>
    <mergeCell ref="R127:T127"/>
    <mergeCell ref="U127:W127"/>
    <mergeCell ref="X127:Z127"/>
    <mergeCell ref="AA127:AC127"/>
    <mergeCell ref="A126:B126"/>
    <mergeCell ref="C126:K126"/>
    <mergeCell ref="L126:N126"/>
    <mergeCell ref="O126:Q126"/>
    <mergeCell ref="R126:T126"/>
    <mergeCell ref="U126:W126"/>
    <mergeCell ref="X124:Z124"/>
    <mergeCell ref="AA124:AC124"/>
    <mergeCell ref="A125:B125"/>
    <mergeCell ref="C125:K125"/>
    <mergeCell ref="L125:N125"/>
    <mergeCell ref="O125:Q125"/>
    <mergeCell ref="R125:T125"/>
    <mergeCell ref="U125:W125"/>
    <mergeCell ref="X125:Z125"/>
    <mergeCell ref="AA125:AC125"/>
    <mergeCell ref="A124:B124"/>
    <mergeCell ref="C124:K124"/>
    <mergeCell ref="L124:N124"/>
    <mergeCell ref="O124:Q124"/>
    <mergeCell ref="R124:T124"/>
    <mergeCell ref="U124:W124"/>
    <mergeCell ref="X130:Z130"/>
    <mergeCell ref="AA130:AC130"/>
    <mergeCell ref="A131:B131"/>
    <mergeCell ref="C131:K131"/>
    <mergeCell ref="L131:N131"/>
    <mergeCell ref="O131:Q131"/>
    <mergeCell ref="R131:T131"/>
    <mergeCell ref="U131:W131"/>
    <mergeCell ref="X131:Z131"/>
    <mergeCell ref="AA131:AC131"/>
    <mergeCell ref="A130:B130"/>
    <mergeCell ref="C130:K130"/>
    <mergeCell ref="L130:N130"/>
    <mergeCell ref="O130:Q130"/>
    <mergeCell ref="R130:T130"/>
    <mergeCell ref="U130:W130"/>
    <mergeCell ref="X128:Z128"/>
    <mergeCell ref="AA128:AC128"/>
    <mergeCell ref="A129:B129"/>
    <mergeCell ref="C129:K129"/>
    <mergeCell ref="L129:N129"/>
    <mergeCell ref="O129:Q129"/>
    <mergeCell ref="R129:T129"/>
    <mergeCell ref="U129:W129"/>
    <mergeCell ref="X129:Z129"/>
    <mergeCell ref="AA129:AC129"/>
    <mergeCell ref="A128:B128"/>
    <mergeCell ref="C128:K128"/>
    <mergeCell ref="L128:N128"/>
    <mergeCell ref="O128:Q128"/>
    <mergeCell ref="R128:T128"/>
    <mergeCell ref="U128:W128"/>
    <mergeCell ref="X134:Z134"/>
    <mergeCell ref="AA134:AC134"/>
    <mergeCell ref="A135:B135"/>
    <mergeCell ref="C135:K135"/>
    <mergeCell ref="L135:N135"/>
    <mergeCell ref="O135:Q135"/>
    <mergeCell ref="R135:T135"/>
    <mergeCell ref="U135:W135"/>
    <mergeCell ref="X135:Z135"/>
    <mergeCell ref="AA135:AC135"/>
    <mergeCell ref="A134:B134"/>
    <mergeCell ref="C134:K134"/>
    <mergeCell ref="L134:N134"/>
    <mergeCell ref="O134:Q134"/>
    <mergeCell ref="R134:T134"/>
    <mergeCell ref="U134:W134"/>
    <mergeCell ref="X132:Z132"/>
    <mergeCell ref="AA132:AC132"/>
    <mergeCell ref="A133:B133"/>
    <mergeCell ref="C133:K133"/>
    <mergeCell ref="L133:N133"/>
    <mergeCell ref="O133:Q133"/>
    <mergeCell ref="R133:T133"/>
    <mergeCell ref="U133:W133"/>
    <mergeCell ref="X133:Z133"/>
    <mergeCell ref="AA133:AC133"/>
    <mergeCell ref="A132:B132"/>
    <mergeCell ref="C132:K132"/>
    <mergeCell ref="L132:N132"/>
    <mergeCell ref="O132:Q132"/>
    <mergeCell ref="R132:T132"/>
    <mergeCell ref="U132:W132"/>
    <mergeCell ref="X138:Z138"/>
    <mergeCell ref="AA138:AC138"/>
    <mergeCell ref="A139:B139"/>
    <mergeCell ref="C139:K139"/>
    <mergeCell ref="L139:N139"/>
    <mergeCell ref="O139:Q139"/>
    <mergeCell ref="R139:T139"/>
    <mergeCell ref="U139:W139"/>
    <mergeCell ref="X139:Z139"/>
    <mergeCell ref="AA139:AC139"/>
    <mergeCell ref="A138:B138"/>
    <mergeCell ref="C138:K138"/>
    <mergeCell ref="L138:N138"/>
    <mergeCell ref="O138:Q138"/>
    <mergeCell ref="R138:T138"/>
    <mergeCell ref="U138:W138"/>
    <mergeCell ref="X136:Z136"/>
    <mergeCell ref="AA136:AC136"/>
    <mergeCell ref="A137:B137"/>
    <mergeCell ref="C137:K137"/>
    <mergeCell ref="L137:N137"/>
    <mergeCell ref="O137:Q137"/>
    <mergeCell ref="R137:T137"/>
    <mergeCell ref="U137:W137"/>
    <mergeCell ref="X137:Z137"/>
    <mergeCell ref="AA137:AC137"/>
    <mergeCell ref="A136:B136"/>
    <mergeCell ref="C136:K136"/>
    <mergeCell ref="L136:N136"/>
    <mergeCell ref="O136:Q136"/>
    <mergeCell ref="R136:T136"/>
    <mergeCell ref="U136:W136"/>
    <mergeCell ref="X142:Z142"/>
    <mergeCell ref="AA142:AC142"/>
    <mergeCell ref="A143:B143"/>
    <mergeCell ref="C143:K143"/>
    <mergeCell ref="L143:N143"/>
    <mergeCell ref="O143:Q143"/>
    <mergeCell ref="R143:T143"/>
    <mergeCell ref="U143:W143"/>
    <mergeCell ref="X143:Z143"/>
    <mergeCell ref="AA143:AC143"/>
    <mergeCell ref="A142:B142"/>
    <mergeCell ref="C142:K142"/>
    <mergeCell ref="L142:N142"/>
    <mergeCell ref="O142:Q142"/>
    <mergeCell ref="R142:T142"/>
    <mergeCell ref="U142:W142"/>
    <mergeCell ref="X140:Z140"/>
    <mergeCell ref="AA140:AC140"/>
    <mergeCell ref="A141:B141"/>
    <mergeCell ref="C141:K141"/>
    <mergeCell ref="L141:N141"/>
    <mergeCell ref="O141:Q141"/>
    <mergeCell ref="R141:T141"/>
    <mergeCell ref="U141:W141"/>
    <mergeCell ref="X141:Z141"/>
    <mergeCell ref="AA141:AC141"/>
    <mergeCell ref="A140:B140"/>
    <mergeCell ref="C140:K140"/>
    <mergeCell ref="L140:N140"/>
    <mergeCell ref="O140:Q140"/>
    <mergeCell ref="R140:T140"/>
    <mergeCell ref="U140:W140"/>
    <mergeCell ref="A149:E149"/>
    <mergeCell ref="L149:S149"/>
    <mergeCell ref="X149:AC149"/>
    <mergeCell ref="A151:E151"/>
    <mergeCell ref="L151:S151"/>
    <mergeCell ref="X151:AC151"/>
    <mergeCell ref="AA145:AC145"/>
    <mergeCell ref="V146:Z146"/>
    <mergeCell ref="AA146:AC146"/>
    <mergeCell ref="V147:AC147"/>
    <mergeCell ref="A148:E148"/>
    <mergeCell ref="L148:S148"/>
    <mergeCell ref="X148:AC148"/>
    <mergeCell ref="A145:K145"/>
    <mergeCell ref="L145:N145"/>
    <mergeCell ref="O145:Q145"/>
    <mergeCell ref="R145:T145"/>
    <mergeCell ref="U145:W145"/>
    <mergeCell ref="X145:Z1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BC tình hình tài chính</vt:lpstr>
      <vt:lpstr>BC Lưu chuyển TT</vt:lpstr>
      <vt:lpstr>BC Kết quả kinh doanh</vt:lpstr>
      <vt:lpstr>Bảng cân đối phát sinh</vt:lpstr>
      <vt:lpstr>'BC tình hình tài chính'!Print_Titles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2011-07-29T01:01:31Z</dcterms:created>
  <dcterms:modified xsi:type="dcterms:W3CDTF">2026-07-16T07:34:05Z</dcterms:modified>
</cp:coreProperties>
</file>